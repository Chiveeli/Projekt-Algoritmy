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private/tmp/claude-501/-Users-mb-Projekt-Algoritmy/f08609ca-cd59-489f-bcd4-83e09196ef9e/scratchpad/"/>
    </mc:Choice>
  </mc:AlternateContent>
  <xr:revisionPtr revIDLastSave="0" documentId="13_ncr:1_{5D31120C-FB33-9842-ACC9-D5D57E02B6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uľka 1 Search" sheetId="1" r:id="rId1"/>
    <sheet name="Tabuľka 2 Sort" sheetId="2" r:id="rId2"/>
    <sheet name="Tabuľka 3 BFS,DFS" sheetId="3" r:id="rId3"/>
    <sheet name="Graf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74" i="4" l="1"/>
  <c r="AC74" i="4"/>
  <c r="AB74" i="4"/>
  <c r="AA74" i="4"/>
  <c r="Z74" i="4"/>
  <c r="Y74" i="4"/>
  <c r="X74" i="4"/>
  <c r="W74" i="4"/>
  <c r="AD73" i="4"/>
  <c r="AC73" i="4"/>
  <c r="AB73" i="4"/>
  <c r="AA73" i="4"/>
  <c r="Z73" i="4"/>
  <c r="Y73" i="4"/>
  <c r="X73" i="4"/>
  <c r="W73" i="4"/>
  <c r="AD72" i="4"/>
  <c r="AC72" i="4"/>
  <c r="AB72" i="4"/>
  <c r="AA72" i="4"/>
  <c r="Z72" i="4"/>
  <c r="Y72" i="4"/>
  <c r="X72" i="4"/>
  <c r="W72" i="4"/>
  <c r="AD71" i="4"/>
  <c r="AC71" i="4"/>
  <c r="AB71" i="4"/>
  <c r="AA71" i="4"/>
  <c r="Z71" i="4"/>
  <c r="Y71" i="4"/>
  <c r="X71" i="4"/>
  <c r="W71" i="4"/>
  <c r="AA67" i="4"/>
  <c r="Y67" i="4"/>
  <c r="AA66" i="4"/>
  <c r="Y66" i="4"/>
  <c r="X66" i="4"/>
  <c r="AA65" i="4"/>
  <c r="Y65" i="4"/>
  <c r="AA64" i="4"/>
  <c r="Y64" i="4"/>
  <c r="AA63" i="4"/>
  <c r="Y63" i="4"/>
  <c r="AA62" i="4"/>
  <c r="Y62" i="4"/>
  <c r="AA61" i="4"/>
  <c r="Z61" i="4"/>
  <c r="Y61" i="4"/>
  <c r="X61" i="4"/>
  <c r="AA60" i="4"/>
  <c r="Y60" i="4"/>
  <c r="AA59" i="4"/>
  <c r="Y59" i="4"/>
  <c r="AA58" i="4"/>
  <c r="Y58" i="4"/>
  <c r="AA57" i="4"/>
  <c r="Y57" i="4"/>
  <c r="AA56" i="4"/>
  <c r="Y56" i="4"/>
  <c r="AA55" i="4"/>
  <c r="Y55" i="4"/>
  <c r="AA54" i="4"/>
  <c r="Y54" i="4"/>
  <c r="X54" i="4"/>
  <c r="AA53" i="4"/>
  <c r="Y53" i="4"/>
  <c r="AA52" i="4"/>
  <c r="Y52" i="4"/>
  <c r="AA51" i="4"/>
  <c r="Y51" i="4"/>
  <c r="AA48" i="4"/>
  <c r="Y48" i="4"/>
  <c r="AA47" i="4"/>
  <c r="Z47" i="4"/>
  <c r="Y47" i="4"/>
  <c r="AA46" i="4"/>
  <c r="Y46" i="4"/>
  <c r="AA45" i="4"/>
  <c r="Y45" i="4"/>
  <c r="X45" i="4"/>
  <c r="AA44" i="4"/>
  <c r="Y44" i="4"/>
  <c r="AA43" i="4"/>
  <c r="Y43" i="4"/>
  <c r="AA42" i="4"/>
  <c r="Y42" i="4"/>
  <c r="AA41" i="4"/>
  <c r="Y41" i="4"/>
  <c r="X41" i="4"/>
  <c r="AA40" i="4"/>
  <c r="Z40" i="4"/>
  <c r="Y40" i="4"/>
  <c r="AA39" i="4"/>
  <c r="Y39" i="4"/>
  <c r="AA38" i="4"/>
  <c r="Y38" i="4"/>
  <c r="AA37" i="4"/>
  <c r="Z37" i="4"/>
  <c r="Y37" i="4"/>
  <c r="AA36" i="4"/>
  <c r="Y36" i="4"/>
  <c r="AA35" i="4"/>
  <c r="Y35" i="4"/>
  <c r="AA34" i="4"/>
  <c r="Y34" i="4"/>
  <c r="AA33" i="4"/>
  <c r="Y33" i="4"/>
  <c r="AA32" i="4"/>
  <c r="Y32" i="4"/>
  <c r="Y21" i="4"/>
  <c r="C41" i="3"/>
  <c r="B41" i="3"/>
  <c r="H40" i="3"/>
  <c r="F40" i="3"/>
  <c r="C40" i="3"/>
  <c r="B40" i="3"/>
  <c r="C39" i="3"/>
  <c r="B39" i="3"/>
  <c r="E38" i="3"/>
  <c r="C38" i="3"/>
  <c r="B38" i="3"/>
  <c r="C37" i="3"/>
  <c r="B37" i="3"/>
  <c r="H36" i="3"/>
  <c r="E36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H28" i="3"/>
  <c r="F28" i="3"/>
  <c r="C28" i="3"/>
  <c r="B28" i="3"/>
  <c r="C27" i="3"/>
  <c r="B27" i="3"/>
  <c r="C26" i="3"/>
  <c r="B26" i="3"/>
  <c r="C25" i="3"/>
  <c r="B25" i="3"/>
  <c r="N21" i="3"/>
  <c r="I41" i="3" s="1"/>
  <c r="L21" i="3"/>
  <c r="Z48" i="4" s="1"/>
  <c r="F21" i="3"/>
  <c r="X67" i="4" s="1"/>
  <c r="D21" i="3"/>
  <c r="X48" i="4" s="1"/>
  <c r="N20" i="3"/>
  <c r="I40" i="3" s="1"/>
  <c r="L20" i="3"/>
  <c r="F20" i="3"/>
  <c r="D20" i="3"/>
  <c r="X47" i="4" s="1"/>
  <c r="N19" i="3"/>
  <c r="Z65" i="4" s="1"/>
  <c r="L19" i="3"/>
  <c r="Z46" i="4" s="1"/>
  <c r="F19" i="3"/>
  <c r="X65" i="4" s="1"/>
  <c r="D19" i="3"/>
  <c r="E39" i="3" s="1"/>
  <c r="N18" i="3"/>
  <c r="I38" i="3" s="1"/>
  <c r="L18" i="3"/>
  <c r="H38" i="3" s="1"/>
  <c r="F18" i="3"/>
  <c r="F38" i="3" s="1"/>
  <c r="D18" i="3"/>
  <c r="N17" i="3"/>
  <c r="I37" i="3" s="1"/>
  <c r="L17" i="3"/>
  <c r="H37" i="3" s="1"/>
  <c r="F17" i="3"/>
  <c r="X63" i="4" s="1"/>
  <c r="D17" i="3"/>
  <c r="E37" i="3" s="1"/>
  <c r="T16" i="3"/>
  <c r="V16" i="3" s="1"/>
  <c r="N16" i="3"/>
  <c r="Z62" i="4" s="1"/>
  <c r="L16" i="3"/>
  <c r="Z43" i="4" s="1"/>
  <c r="F16" i="3"/>
  <c r="X62" i="4" s="1"/>
  <c r="D16" i="3"/>
  <c r="X43" i="4" s="1"/>
  <c r="T15" i="3"/>
  <c r="V15" i="3" s="1"/>
  <c r="N15" i="3"/>
  <c r="I35" i="3" s="1"/>
  <c r="L15" i="3"/>
  <c r="H35" i="3" s="1"/>
  <c r="F15" i="3"/>
  <c r="F35" i="3" s="1"/>
  <c r="D15" i="3"/>
  <c r="X42" i="4" s="1"/>
  <c r="T14" i="3"/>
  <c r="V14" i="3" s="1"/>
  <c r="N14" i="3"/>
  <c r="Z60" i="4" s="1"/>
  <c r="L14" i="3"/>
  <c r="H34" i="3" s="1"/>
  <c r="F14" i="3"/>
  <c r="X60" i="4" s="1"/>
  <c r="D14" i="3"/>
  <c r="E34" i="3" s="1"/>
  <c r="N13" i="3"/>
  <c r="I33" i="3" s="1"/>
  <c r="L13" i="3"/>
  <c r="H33" i="3" s="1"/>
  <c r="F13" i="3"/>
  <c r="F33" i="3" s="1"/>
  <c r="D13" i="3"/>
  <c r="E33" i="3" s="1"/>
  <c r="T12" i="3"/>
  <c r="V12" i="3" s="1"/>
  <c r="N12" i="3"/>
  <c r="I32" i="3" s="1"/>
  <c r="L12" i="3"/>
  <c r="H32" i="3" s="1"/>
  <c r="F12" i="3"/>
  <c r="X58" i="4" s="1"/>
  <c r="D12" i="3"/>
  <c r="E32" i="3" s="1"/>
  <c r="T11" i="3"/>
  <c r="V11" i="3" s="1"/>
  <c r="N11" i="3"/>
  <c r="I31" i="3" s="1"/>
  <c r="L11" i="3"/>
  <c r="Z38" i="4" s="1"/>
  <c r="F11" i="3"/>
  <c r="X57" i="4" s="1"/>
  <c r="D11" i="3"/>
  <c r="X38" i="4" s="1"/>
  <c r="T10" i="3"/>
  <c r="V10" i="3" s="1"/>
  <c r="N10" i="3"/>
  <c r="I30" i="3" s="1"/>
  <c r="L10" i="3"/>
  <c r="H30" i="3" s="1"/>
  <c r="F10" i="3"/>
  <c r="F30" i="3" s="1"/>
  <c r="D10" i="3"/>
  <c r="X37" i="4" s="1"/>
  <c r="N9" i="3"/>
  <c r="Z55" i="4" s="1"/>
  <c r="L9" i="3"/>
  <c r="Z36" i="4" s="1"/>
  <c r="F9" i="3"/>
  <c r="X55" i="4" s="1"/>
  <c r="D9" i="3"/>
  <c r="E29" i="3" s="1"/>
  <c r="T8" i="3"/>
  <c r="V8" i="3" s="1"/>
  <c r="N8" i="3"/>
  <c r="I28" i="3" s="1"/>
  <c r="L8" i="3"/>
  <c r="Z35" i="4" s="1"/>
  <c r="F8" i="3"/>
  <c r="D8" i="3"/>
  <c r="X35" i="4" s="1"/>
  <c r="T7" i="3"/>
  <c r="V7" i="3" s="1"/>
  <c r="T6" i="3"/>
  <c r="V6" i="3" s="1"/>
  <c r="X24" i="2"/>
  <c r="Z28" i="4" s="1"/>
  <c r="R24" i="2"/>
  <c r="Z27" i="4" s="1"/>
  <c r="Q24" i="2"/>
  <c r="Z23" i="4" s="1"/>
  <c r="J24" i="2"/>
  <c r="Z18" i="4" s="1"/>
  <c r="X22" i="2"/>
  <c r="Y28" i="4" s="1"/>
  <c r="Q22" i="2"/>
  <c r="Y23" i="4" s="1"/>
  <c r="K22" i="2"/>
  <c r="D30" i="2" s="1"/>
  <c r="J22" i="2"/>
  <c r="Y18" i="4" s="1"/>
  <c r="D22" i="2"/>
  <c r="C30" i="2" s="1"/>
  <c r="X18" i="2"/>
  <c r="X28" i="4" s="1"/>
  <c r="Q18" i="2"/>
  <c r="X23" i="4" s="1"/>
  <c r="J18" i="2"/>
  <c r="X18" i="4" s="1"/>
  <c r="D18" i="2"/>
  <c r="C29" i="2" s="1"/>
  <c r="U12" i="2"/>
  <c r="Z26" i="4" s="1"/>
  <c r="O12" i="2"/>
  <c r="Z21" i="4" s="1"/>
  <c r="I12" i="2"/>
  <c r="Z16" i="4" s="1"/>
  <c r="U10" i="2"/>
  <c r="Y26" i="4" s="1"/>
  <c r="O10" i="2"/>
  <c r="I10" i="2"/>
  <c r="Y16" i="4" s="1"/>
  <c r="U6" i="2"/>
  <c r="R18" i="2" s="1"/>
  <c r="O6" i="2"/>
  <c r="X21" i="4" s="1"/>
  <c r="I6" i="2"/>
  <c r="X16" i="4" s="1"/>
  <c r="F35" i="1"/>
  <c r="E35" i="1"/>
  <c r="F34" i="1"/>
  <c r="E34" i="1"/>
  <c r="N24" i="1"/>
  <c r="Y12" i="4" s="1"/>
  <c r="M24" i="1"/>
  <c r="Y7" i="4" s="1"/>
  <c r="I24" i="1"/>
  <c r="X12" i="4" s="1"/>
  <c r="H24" i="1"/>
  <c r="X7" i="4" s="1"/>
  <c r="M19" i="1"/>
  <c r="M30" i="1" s="1"/>
  <c r="I19" i="1"/>
  <c r="I30" i="1" s="1"/>
  <c r="N7" i="1"/>
  <c r="Y10" i="4" s="1"/>
  <c r="M7" i="1"/>
  <c r="Y5" i="4" s="1"/>
  <c r="I7" i="1"/>
  <c r="X10" i="4" s="1"/>
  <c r="H7" i="1"/>
  <c r="H19" i="1" s="1"/>
  <c r="E28" i="3" l="1"/>
  <c r="Y22" i="4"/>
  <c r="Z54" i="4"/>
  <c r="N19" i="1"/>
  <c r="E31" i="2"/>
  <c r="F39" i="3"/>
  <c r="Z41" i="4"/>
  <c r="I36" i="3"/>
  <c r="H39" i="3"/>
  <c r="X26" i="4"/>
  <c r="Z59" i="4"/>
  <c r="F29" i="3"/>
  <c r="I39" i="3"/>
  <c r="X39" i="4"/>
  <c r="X56" i="4"/>
  <c r="F34" i="3"/>
  <c r="Z42" i="4"/>
  <c r="Z63" i="4"/>
  <c r="X17" i="4"/>
  <c r="Z56" i="4"/>
  <c r="E40" i="3"/>
  <c r="E29" i="2"/>
  <c r="X27" i="4"/>
  <c r="H30" i="1"/>
  <c r="X6" i="4"/>
  <c r="Z58" i="4"/>
  <c r="H29" i="3"/>
  <c r="E31" i="3"/>
  <c r="E41" i="3"/>
  <c r="Y17" i="4"/>
  <c r="X40" i="4"/>
  <c r="I29" i="3"/>
  <c r="F31" i="3"/>
  <c r="I34" i="3"/>
  <c r="F36" i="3"/>
  <c r="F41" i="3"/>
  <c r="Z45" i="4"/>
  <c r="X59" i="4"/>
  <c r="X64" i="4"/>
  <c r="Z66" i="4"/>
  <c r="R22" i="2"/>
  <c r="X46" i="4"/>
  <c r="X11" i="4"/>
  <c r="H31" i="3"/>
  <c r="H41" i="3"/>
  <c r="X36" i="4"/>
  <c r="Z64" i="4"/>
  <c r="E30" i="3"/>
  <c r="E35" i="3"/>
  <c r="X5" i="4"/>
  <c r="K18" i="2"/>
  <c r="D24" i="2"/>
  <c r="X44" i="4"/>
  <c r="Z57" i="4"/>
  <c r="Z67" i="4"/>
  <c r="K24" i="2"/>
  <c r="F32" i="3"/>
  <c r="F37" i="3"/>
  <c r="Y6" i="4"/>
  <c r="Z39" i="4"/>
  <c r="Z44" i="4"/>
  <c r="Y11" i="4" l="1"/>
  <c r="N30" i="1"/>
  <c r="X22" i="4"/>
  <c r="D29" i="2"/>
  <c r="Y27" i="4"/>
  <c r="E30" i="2"/>
  <c r="D31" i="2"/>
  <c r="Z22" i="4"/>
  <c r="C31" i="2"/>
  <c r="Z1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Meranie</author>
  </authors>
  <commentList>
    <comment ref="M14" authorId="0" shapeId="0" xr:uid="{00000000-0006-0000-0200-000001000000}">
      <text>
        <r>
          <rPr>
            <sz val="11"/>
            <color theme="1"/>
            <rFont val="Calibri"/>
            <family val="2"/>
            <charset val="238"/>
            <scheme val="minor"/>
          </rPr>
          <t>BFS: výpočet prerušený po prekročení 15 000 000 ciest v pamäti, skutočný počet ciest je väčší.</t>
        </r>
      </text>
    </comment>
    <comment ref="E15" authorId="0" shapeId="0" xr:uid="{00000000-0006-0000-0200-000002000000}">
      <text>
        <r>
          <rPr>
            <sz val="11"/>
            <color theme="1"/>
            <rFont val="Calibri"/>
            <family val="2"/>
            <charset val="238"/>
            <scheme val="minor"/>
          </rPr>
          <t>DFS: výpočet prerušený po 120 s, skutočný počet ciest je väčší.</t>
        </r>
      </text>
    </comment>
    <comment ref="M15" authorId="0" shapeId="0" xr:uid="{00000000-0006-0000-0200-000003000000}">
      <text>
        <r>
          <rPr>
            <sz val="11"/>
            <color theme="1"/>
            <rFont val="Calibri"/>
            <family val="2"/>
            <charset val="238"/>
            <scheme val="minor"/>
          </rPr>
          <t>BFS: výpočet prerušený po prekročení 15 000 000 ciest v pamäti, skutočný počet ciest je väčší.</t>
        </r>
      </text>
    </comment>
    <comment ref="M16" authorId="0" shapeId="0" xr:uid="{00000000-0006-0000-0200-000004000000}">
      <text>
        <r>
          <rPr>
            <sz val="11"/>
            <color theme="1"/>
            <rFont val="Calibri"/>
            <family val="2"/>
            <charset val="238"/>
            <scheme val="minor"/>
          </rPr>
          <t>BFS: výpočet prerušený po prekročení 15 000 000 ciest v pamäti, skutočný počet ciest je väčší.</t>
        </r>
      </text>
    </comment>
    <comment ref="M17" authorId="0" shapeId="0" xr:uid="{00000000-0006-0000-0200-000005000000}">
      <text>
        <r>
          <rPr>
            <sz val="11"/>
            <color theme="1"/>
            <rFont val="Calibri"/>
            <family val="2"/>
            <charset val="238"/>
            <scheme val="minor"/>
          </rPr>
          <t>BFS: výpočet prerušený po prekročení 15 000 000 ciest v pamäti, skutočný počet ciest je väčší.</t>
        </r>
      </text>
    </comment>
    <comment ref="E18" authorId="0" shapeId="0" xr:uid="{00000000-0006-0000-0200-000006000000}">
      <text>
        <r>
          <rPr>
            <sz val="11"/>
            <color theme="1"/>
            <rFont val="Calibri"/>
            <family val="2"/>
            <charset val="238"/>
            <scheme val="minor"/>
          </rPr>
          <t>DFS: výpočet prerušený po 120 s, skutočný počet ciest je väčší.</t>
        </r>
      </text>
    </comment>
    <comment ref="M18" authorId="0" shapeId="0" xr:uid="{00000000-0006-0000-0200-000007000000}">
      <text>
        <r>
          <rPr>
            <sz val="11"/>
            <color theme="1"/>
            <rFont val="Calibri"/>
            <family val="2"/>
            <charset val="238"/>
            <scheme val="minor"/>
          </rPr>
          <t>BFS: výpočet prerušený po prekročení 15 000 000 ciest v pamäti, skutočný počet ciest je väčší.</t>
        </r>
      </text>
    </comment>
    <comment ref="M19" authorId="0" shapeId="0" xr:uid="{00000000-0006-0000-0200-000008000000}">
      <text>
        <r>
          <rPr>
            <sz val="11"/>
            <color theme="1"/>
            <rFont val="Calibri"/>
            <family val="2"/>
            <charset val="238"/>
            <scheme val="minor"/>
          </rPr>
          <t>BFS: výpočet prerušený po prekročení 15 000 000 ciest v pamäti, skutočný počet ciest je väčší.</t>
        </r>
      </text>
    </comment>
    <comment ref="M20" authorId="0" shapeId="0" xr:uid="{00000000-0006-0000-0200-000009000000}">
      <text>
        <r>
          <rPr>
            <sz val="11"/>
            <color theme="1"/>
            <rFont val="Calibri"/>
            <family val="2"/>
            <charset val="238"/>
            <scheme val="minor"/>
          </rPr>
          <t>BFS: výpočet prerušený po prekročení 15 000 000 ciest v pamäti, skutočný počet ciest je väčší.</t>
        </r>
      </text>
    </comment>
    <comment ref="E21" authorId="0" shapeId="0" xr:uid="{00000000-0006-0000-0200-00000A000000}">
      <text>
        <r>
          <rPr>
            <sz val="11"/>
            <color theme="1"/>
            <rFont val="Calibri"/>
            <family val="2"/>
            <charset val="238"/>
            <scheme val="minor"/>
          </rPr>
          <t>DFS: výpočet prerušený po 120 s, skutočný počet ciest je väčší.</t>
        </r>
      </text>
    </comment>
    <comment ref="M21" authorId="0" shapeId="0" xr:uid="{00000000-0006-0000-0200-00000B000000}">
      <text>
        <r>
          <rPr>
            <sz val="11"/>
            <color theme="1"/>
            <rFont val="Calibri"/>
            <family val="2"/>
            <charset val="238"/>
            <scheme val="minor"/>
          </rPr>
          <t>BFS: výpočet prerušený po prekročení 15 000 000 ciest v pamäti, skutočný počet ciest je väčší.</t>
        </r>
      </text>
    </comment>
  </commentList>
</comments>
</file>

<file path=xl/sharedStrings.xml><?xml version="1.0" encoding="utf-8"?>
<sst xmlns="http://schemas.openxmlformats.org/spreadsheetml/2006/main" count="359" uniqueCount="150">
  <si>
    <t>Linear Search O(N)</t>
  </si>
  <si>
    <t>Binary Search O(log(2)N)</t>
  </si>
  <si>
    <t>Hľadaná hodnota</t>
  </si>
  <si>
    <t>Na pozícii</t>
  </si>
  <si>
    <t>Doba hľadania (ms)</t>
  </si>
  <si>
    <t>Počet porovnaní</t>
  </si>
  <si>
    <t>Priemerná doba hľadania(ms)</t>
  </si>
  <si>
    <t>Priemerný počet porovnaní</t>
  </si>
  <si>
    <t>Sada N1=</t>
  </si>
  <si>
    <t>odhad</t>
  </si>
  <si>
    <t>skutočná</t>
  </si>
  <si>
    <t>skutočný</t>
  </si>
  <si>
    <t>Sada N2=</t>
  </si>
  <si>
    <t>Vyhodnotenie odhadu pre N2 = 100 000 000</t>
  </si>
  <si>
    <t>LS čas</t>
  </si>
  <si>
    <t>LS porovnania</t>
  </si>
  <si>
    <t>BS čas</t>
  </si>
  <si>
    <t>BS porovnania</t>
  </si>
  <si>
    <t>odhad / skutočnosť</t>
  </si>
  <si>
    <t>100 % = presný odhad, menej = odhad bol nižší ako skutočnosť, viac = odhad bol vyšší.</t>
  </si>
  <si>
    <t>Sada</t>
  </si>
  <si>
    <t>nájdené</t>
  </si>
  <si>
    <t>nenájdené</t>
  </si>
  <si>
    <t>rozsah hodnôt v zozname</t>
  </si>
  <si>
    <t>N1 = 10 000 000</t>
  </si>
  <si>
    <t>3 – 45 005 181</t>
  </si>
  <si>
    <t>N2 = 100 000 000</t>
  </si>
  <si>
    <t>4 – 449 998 473</t>
  </si>
  <si>
    <t>Pozícia -1 = hodnota sa v zozname nenachádza. Hľadané hodnoty sú náhodné z celého rozsahu &lt;min, max&gt;, tie isté pre LS aj BS.</t>
  </si>
  <si>
    <t>časová anomália – nezapočítaná do priemeru (čas na 1 porovnanie &gt; 2 × medián sady)</t>
  </si>
  <si>
    <t>Odhad LS – O(N):  priemer N1 · N2 / N1          Odhad BS – O(log₂N):  priemer N1 · log₂N2 / log₂N1</t>
  </si>
  <si>
    <t>Sada N=</t>
  </si>
  <si>
    <t>Random</t>
  </si>
  <si>
    <t>Doba zoradzovania (ms)</t>
  </si>
  <si>
    <t>Počet porovnaní (if, while)</t>
  </si>
  <si>
    <t>Počet presunov dát</t>
  </si>
  <si>
    <t>Algoritmus</t>
  </si>
  <si>
    <t>Výpočtová zložitosť</t>
  </si>
  <si>
    <t>Priemer</t>
  </si>
  <si>
    <t>Bubble Sort</t>
  </si>
  <si>
    <t>O(n²)</t>
  </si>
  <si>
    <t>Select Sort</t>
  </si>
  <si>
    <t>Insert Sort</t>
  </si>
  <si>
    <t>Heap Sort</t>
  </si>
  <si>
    <t>Quick Sort</t>
  </si>
  <si>
    <t>O(n·log n)</t>
  </si>
  <si>
    <t>Merge Sort</t>
  </si>
  <si>
    <t>Radix Sort</t>
  </si>
  <si>
    <t>O(d·n)</t>
  </si>
  <si>
    <t>Odhad</t>
  </si>
  <si>
    <t>Vyhodnotenie odhadu pre N = 20 000 (odhad / skutočnosť)</t>
  </si>
  <si>
    <t>čas</t>
  </si>
  <si>
    <t>porovnania</t>
  </si>
  <si>
    <t>presuny</t>
  </si>
  <si>
    <t>Odhad (stĺpce „Odhad“ sú vzorce):  Bubble O(n²) · (N2/N1)²   |   Quick O(n·log n) · (N2·log₂N2)/(N1·log₂N1)   |   Radix O(d·n) · N2/N1</t>
  </si>
  <si>
    <t>Dáta: 5 náhodných sád, hodnoty 0 – 99 999 (pre obe veľkosti rovnaký rozsah → Radix Sort má vždy d = 5 prechodov). Rovnaká sada pre všetky algoritmy.</t>
  </si>
  <si>
    <t>Podľa zadania sú vybrané Radix Sort, Bubble Sort (z Bubble / Insert / Select) a Quick Sort (z Quick / Merge / Heap).</t>
  </si>
  <si>
    <t>Porovnania = vykonané podmienky (if, while) porovnávajúce triedené hodnoty; presuny = zápisy prvku na nové miesto (výmena = 2).</t>
  </si>
  <si>
    <t>časová anomália – nezapočítaná do priemeru (čas &gt; 2 × medián 5 meraní) – v tejto tabuľke sa nevyskytla</t>
  </si>
  <si>
    <t>Jazdec na šachovnici (zložitosť = O(8^n²)) DFS</t>
  </si>
  <si>
    <t>Jazdec na šachovnici (zložitosť = O(8^n²)) BFS</t>
  </si>
  <si>
    <t>Flood Fill (zložitosť = O(n), n = počet pixelov)</t>
  </si>
  <si>
    <t>n</t>
  </si>
  <si>
    <t>start x,y</t>
  </si>
  <si>
    <t>počet skúmaných ciest</t>
  </si>
  <si>
    <t>čas (ms)</t>
  </si>
  <si>
    <t>n (pixely)</t>
  </si>
  <si>
    <t>algoritmus</t>
  </si>
  <si>
    <t>útvar</t>
  </si>
  <si>
    <t>skutočnosť</t>
  </si>
  <si>
    <t>0,0</t>
  </si>
  <si>
    <t>X</t>
  </si>
  <si>
    <t>BFS</t>
  </si>
  <si>
    <t>štvorec 100×100</t>
  </si>
  <si>
    <t>1,0</t>
  </si>
  <si>
    <t>kruh r = 150</t>
  </si>
  <si>
    <t>1,1</t>
  </si>
  <si>
    <t>trojuholník 700×450</t>
  </si>
  <si>
    <t>obdĺžnik 880×556</t>
  </si>
  <si>
    <t>DFS R</t>
  </si>
  <si>
    <t>2,0</t>
  </si>
  <si>
    <t>2,1</t>
  </si>
  <si>
    <t>2,2</t>
  </si>
  <si>
    <t>DFS</t>
  </si>
  <si>
    <t>Odhad = čas prvého (najmenšieho) útvaru · n / n₁  (lineárna zložitosť O(n)).</t>
  </si>
  <si>
    <t>Merané bez animácie (FloodFillMeranie.py), susedstvo 4, plátno 900 × 576 px, každý útvar na čistom plátne.</t>
  </si>
  <si>
    <t>odhad / skutočnosť: 100 % = presný odhad, menej = odhad bol nižší ako skutočnosť.</t>
  </si>
  <si>
    <t>Vyhodnotenie odhadu – Jazdec (odhad / skutočnosť)</t>
  </si>
  <si>
    <t>DFS: cesta nájdená</t>
  </si>
  <si>
    <t>DFS cesty odhad/skut.</t>
  </si>
  <si>
    <t>DFS čas odhad/skut.</t>
  </si>
  <si>
    <t>BFS: cesta nájdená</t>
  </si>
  <si>
    <t>BFS cesty odhad/skut.</t>
  </si>
  <si>
    <t>BFS čas odhad/skut.</t>
  </si>
  <si>
    <t>nie</t>
  </si>
  <si>
    <t>áno</t>
  </si>
  <si>
    <t>prerušené</t>
  </si>
  <si>
    <t>Odhad pre n = 5…8 = meranie pre n = 4 s rovnakým typom štartu (roh 0,0 / okraj 1,0 a 2,0 / stred 1,1, 2,1, 2,2) · 8^(n² − 4²).</t>
  </si>
  <si>
    <t>Pri n = 4 cesta neexistuje, algoritmus prehľadá celý strom → DFS aj BFS majú rovnaký počet skúmaných ciest.</t>
  </si>
  <si>
    <t>Odhad O(8^n²) je horná hranica (najhorší prípad): skutočný strom je oveľa menší, lebo jazdec má zvyčajne menej ako 8 voľných ťahov a DFS končí pri prvej nájdenej ceste.</t>
  </si>
  <si>
    <t>≥</t>
  </si>
  <si>
    <t>výpočet prerušený (DFS: limit 120 s, BFS: limit 120 s alebo 15 miliónov ciest v pamäti) – skutočná hodnota je väčšia</t>
  </si>
  <si>
    <t>Grafy – porovnanie algoritmov a odhadu so skutočnosťou</t>
  </si>
  <si>
    <t>Zdroj dát pre grafy (vzorce odkazujú na tabuľky 1–3)</t>
  </si>
  <si>
    <t>Tabuľka 1 – Linear Search vs Binary Search (os Y logaritmická)</t>
  </si>
  <si>
    <t>Tabuľka 1</t>
  </si>
  <si>
    <t>Čas hľadania (ms)</t>
  </si>
  <si>
    <t>Linear Search</t>
  </si>
  <si>
    <t>Binary Search</t>
  </si>
  <si>
    <t>N1 = 10 000 000 – priemer</t>
  </si>
  <si>
    <t>N2 = 100 000 000 – odhad</t>
  </si>
  <si>
    <t>N2 = 100 000 000 – skutočnosť</t>
  </si>
  <si>
    <t>Tabuľka 2</t>
  </si>
  <si>
    <t>Doba zoraďovania (ms)</t>
  </si>
  <si>
    <t>N = 10 000 – priemer</t>
  </si>
  <si>
    <t>N = 20 000 – odhad</t>
  </si>
  <si>
    <t>N = 20 000 – skutočnosť</t>
  </si>
  <si>
    <t>Tabuľka 2 – Bubble Sort, Quick Sort, Radix Sort (os Y logaritmická)</t>
  </si>
  <si>
    <t>Tabuľka 3 – Jazdec (odhad pre n = 4 nie je – je to základ odhadu)</t>
  </si>
  <si>
    <t>Počet skúmaných ciest</t>
  </si>
  <si>
    <t>DFS odhad</t>
  </si>
  <si>
    <t>DFS skutočnosť</t>
  </si>
  <si>
    <t>BFS odhad</t>
  </si>
  <si>
    <t>BFS skutočnosť</t>
  </si>
  <si>
    <t>4 (0,0)</t>
  </si>
  <si>
    <t>4 (1,0)</t>
  </si>
  <si>
    <t>4 (1,1)</t>
  </si>
  <si>
    <t>5 (0,0)</t>
  </si>
  <si>
    <t>5 (1,0)</t>
  </si>
  <si>
    <t>5 (2,0)</t>
  </si>
  <si>
    <t>5 (1,1)</t>
  </si>
  <si>
    <t>5 (2,1)</t>
  </si>
  <si>
    <t>5 (2,2)</t>
  </si>
  <si>
    <t>6 (0,0)</t>
  </si>
  <si>
    <t>6 (1,0)</t>
  </si>
  <si>
    <t>6 (2,0)</t>
  </si>
  <si>
    <t>6 (1,1)</t>
  </si>
  <si>
    <t>6 (2,1)</t>
  </si>
  <si>
    <t>6 (2,2)</t>
  </si>
  <si>
    <t>7 (0,0)</t>
  </si>
  <si>
    <t>8 (0,0)</t>
  </si>
  <si>
    <t>Čas (ms)</t>
  </si>
  <si>
    <t>Tabuľka 3 – Jazdec na šachovnici: odhad O(8^n²) vs. skutočnosť (os Y logaritmická)</t>
  </si>
  <si>
    <t>Tabuľka 3 – Flood Fill</t>
  </si>
  <si>
    <t>Útvar</t>
  </si>
  <si>
    <t>pixely</t>
  </si>
  <si>
    <t>DFS R skutočnosť</t>
  </si>
  <si>
    <t>DFS R odhad</t>
  </si>
  <si>
    <t>Odhad = čas najmenšieho útvaru · n / n₁ (pri prvom útvare sa odhad rovná meraniu).</t>
  </si>
  <si>
    <t>Tabuľka 3 – Flood Fill: čas vs. počet pixelov (lineárne osi – zložitosť O(n))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</si>
</sst>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0.0000"/>
    <numFmt numFmtId="166" formatCode="#,##0.0"/>
    <numFmt numFmtId="167" formatCode="0.0%"/>
    <numFmt numFmtId="168" formatCode="#,##0.000"/>
    <numFmt numFmtId="169" formatCode="&quot;≥ &quot;#,##0"/>
    <numFmt numFmtId="170" formatCode="&quot;≥ &quot;#,##0.000"/>
    <numFmt numFmtId="171" formatCode="0.0E+00"/>
    <numFmt numFmtId="172" formatCode="&quot;≤ &quot;0.0E+00"/>
  </numFmts>
  <fonts count="1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6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sz val="18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i/>
      <sz val="11"/>
      <color rgb="FF595959"/>
      <name val="Calibri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DDEBF7"/>
      </patternFill>
    </fill>
    <fill>
      <patternFill patternType="solid">
        <fgColor rgb="FFFFF2CC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0" fillId="0" borderId="7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39" xfId="0" applyBorder="1"/>
    <xf numFmtId="0" fontId="0" fillId="0" borderId="46" xfId="0" applyBorder="1"/>
    <xf numFmtId="0" fontId="0" fillId="0" borderId="48" xfId="0" applyBorder="1"/>
    <xf numFmtId="0" fontId="7" fillId="0" borderId="0" xfId="0" applyFont="1"/>
    <xf numFmtId="0" fontId="1" fillId="0" borderId="2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8" fillId="0" borderId="47" xfId="0" applyFont="1" applyBorder="1" applyAlignment="1">
      <alignment horizontal="center"/>
    </xf>
    <xf numFmtId="0" fontId="8" fillId="0" borderId="3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3" fillId="0" borderId="25" xfId="0" applyFont="1" applyBorder="1"/>
    <xf numFmtId="0" fontId="8" fillId="0" borderId="45" xfId="0" applyFont="1" applyBorder="1" applyAlignment="1">
      <alignment horizontal="center"/>
    </xf>
    <xf numFmtId="0" fontId="3" fillId="0" borderId="15" xfId="0" applyFont="1" applyBorder="1"/>
    <xf numFmtId="0" fontId="3" fillId="0" borderId="17" xfId="0" applyFont="1" applyBorder="1"/>
    <xf numFmtId="0" fontId="8" fillId="0" borderId="51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8" fillId="0" borderId="52" xfId="0" applyFont="1" applyBorder="1" applyAlignment="1">
      <alignment horizontal="center"/>
    </xf>
    <xf numFmtId="0" fontId="4" fillId="0" borderId="53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51" xfId="0" applyBorder="1" applyAlignment="1">
      <alignment horizontal="center"/>
    </xf>
    <xf numFmtId="0" fontId="3" fillId="0" borderId="58" xfId="0" applyFont="1" applyBorder="1"/>
    <xf numFmtId="0" fontId="8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8" fillId="0" borderId="58" xfId="0" applyFont="1" applyBorder="1" applyAlignment="1">
      <alignment horizontal="center"/>
    </xf>
    <xf numFmtId="0" fontId="0" fillId="0" borderId="58" xfId="0" applyBorder="1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9" fillId="0" borderId="59" xfId="0" applyFont="1" applyBorder="1" applyAlignment="1">
      <alignment horizontal="center" vertical="top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5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0" fillId="0" borderId="34" xfId="0" applyNumberFormat="1" applyBorder="1"/>
    <xf numFmtId="3" fontId="0" fillId="0" borderId="8" xfId="0" applyNumberFormat="1" applyBorder="1"/>
    <xf numFmtId="164" fontId="0" fillId="0" borderId="9" xfId="0" applyNumberFormat="1" applyBorder="1"/>
    <xf numFmtId="3" fontId="0" fillId="0" borderId="9" xfId="0" applyNumberFormat="1" applyBorder="1"/>
    <xf numFmtId="3" fontId="0" fillId="0" borderId="24" xfId="0" applyNumberFormat="1" applyBorder="1"/>
    <xf numFmtId="165" fontId="0" fillId="2" borderId="2" xfId="0" applyNumberFormat="1" applyFill="1" applyBorder="1"/>
    <xf numFmtId="1" fontId="0" fillId="0" borderId="23" xfId="0" applyNumberFormat="1" applyBorder="1"/>
    <xf numFmtId="3" fontId="0" fillId="0" borderId="47" xfId="0" applyNumberFormat="1" applyBorder="1"/>
    <xf numFmtId="3" fontId="0" fillId="0" borderId="7" xfId="0" applyNumberFormat="1" applyBorder="1"/>
    <xf numFmtId="164" fontId="0" fillId="0" borderId="10" xfId="0" applyNumberFormat="1" applyBorder="1"/>
    <xf numFmtId="3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1" fontId="0" fillId="0" borderId="16" xfId="0" applyNumberFormat="1" applyBorder="1"/>
    <xf numFmtId="3" fontId="0" fillId="0" borderId="35" xfId="0" applyNumberFormat="1" applyBorder="1"/>
    <xf numFmtId="164" fontId="0" fillId="0" borderId="47" xfId="0" applyNumberFormat="1" applyBorder="1"/>
    <xf numFmtId="165" fontId="0" fillId="0" borderId="7" xfId="0" applyNumberFormat="1" applyBorder="1"/>
    <xf numFmtId="1" fontId="0" fillId="0" borderId="38" xfId="0" applyNumberFormat="1" applyBorder="1"/>
    <xf numFmtId="3" fontId="0" fillId="0" borderId="40" xfId="0" applyNumberFormat="1" applyBorder="1"/>
    <xf numFmtId="3" fontId="0" fillId="0" borderId="30" xfId="0" applyNumberFormat="1" applyBorder="1"/>
    <xf numFmtId="164" fontId="0" fillId="0" borderId="0" xfId="0" applyNumberFormat="1"/>
    <xf numFmtId="3" fontId="0" fillId="0" borderId="37" xfId="0" applyNumberFormat="1" applyBorder="1"/>
    <xf numFmtId="3" fontId="0" fillId="0" borderId="15" xfId="0" applyNumberFormat="1" applyBorder="1"/>
    <xf numFmtId="3" fontId="0" fillId="0" borderId="33" xfId="0" applyNumberFormat="1" applyBorder="1"/>
    <xf numFmtId="165" fontId="0" fillId="0" borderId="8" xfId="0" applyNumberFormat="1" applyBorder="1"/>
    <xf numFmtId="1" fontId="0" fillId="0" borderId="48" xfId="0" applyNumberFormat="1" applyBorder="1"/>
    <xf numFmtId="165" fontId="0" fillId="0" borderId="30" xfId="0" applyNumberFormat="1" applyBorder="1"/>
    <xf numFmtId="1" fontId="0" fillId="0" borderId="41" xfId="0" applyNumberFormat="1" applyBorder="1"/>
    <xf numFmtId="165" fontId="0" fillId="0" borderId="46" xfId="0" applyNumberFormat="1" applyBorder="1"/>
    <xf numFmtId="3" fontId="0" fillId="0" borderId="36" xfId="0" applyNumberFormat="1" applyBorder="1"/>
    <xf numFmtId="3" fontId="0" fillId="0" borderId="18" xfId="0" applyNumberFormat="1" applyBorder="1"/>
    <xf numFmtId="164" fontId="0" fillId="0" borderId="52" xfId="0" applyNumberFormat="1" applyBorder="1"/>
    <xf numFmtId="3" fontId="0" fillId="0" borderId="19" xfId="0" applyNumberFormat="1" applyBorder="1"/>
    <xf numFmtId="3" fontId="0" fillId="0" borderId="39" xfId="0" applyNumberFormat="1" applyBorder="1"/>
    <xf numFmtId="3" fontId="0" fillId="0" borderId="11" xfId="0" applyNumberFormat="1" applyBorder="1"/>
    <xf numFmtId="164" fontId="0" fillId="0" borderId="8" xfId="0" applyNumberFormat="1" applyBorder="1"/>
    <xf numFmtId="3" fontId="0" fillId="0" borderId="28" xfId="0" applyNumberFormat="1" applyBorder="1"/>
    <xf numFmtId="3" fontId="0" fillId="0" borderId="25" xfId="0" applyNumberFormat="1" applyBorder="1"/>
    <xf numFmtId="165" fontId="0" fillId="0" borderId="27" xfId="0" applyNumberFormat="1" applyBorder="1"/>
    <xf numFmtId="1" fontId="0" fillId="0" borderId="28" xfId="0" applyNumberFormat="1" applyBorder="1"/>
    <xf numFmtId="164" fontId="0" fillId="0" borderId="7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164" fontId="0" fillId="0" borderId="18" xfId="0" applyNumberFormat="1" applyBorder="1"/>
    <xf numFmtId="165" fontId="0" fillId="0" borderId="18" xfId="0" applyNumberFormat="1" applyBorder="1"/>
    <xf numFmtId="1" fontId="0" fillId="0" borderId="19" xfId="0" applyNumberFormat="1" applyBorder="1"/>
    <xf numFmtId="0" fontId="12" fillId="0" borderId="0" xfId="0" applyFont="1"/>
    <xf numFmtId="0" fontId="0" fillId="3" borderId="62" xfId="0" applyFill="1" applyBorder="1"/>
    <xf numFmtId="0" fontId="12" fillId="3" borderId="62" xfId="0" applyFont="1" applyFill="1" applyBorder="1" applyAlignment="1">
      <alignment horizontal="center" vertical="center" wrapText="1"/>
    </xf>
    <xf numFmtId="0" fontId="12" fillId="0" borderId="62" xfId="0" applyFont="1" applyBorder="1"/>
    <xf numFmtId="167" fontId="13" fillId="0" borderId="62" xfId="0" applyNumberFormat="1" applyFont="1" applyBorder="1" applyAlignment="1">
      <alignment horizontal="center" vertical="center" wrapText="1"/>
    </xf>
    <xf numFmtId="0" fontId="14" fillId="0" borderId="0" xfId="0" applyFont="1"/>
    <xf numFmtId="0" fontId="13" fillId="0" borderId="62" xfId="0" applyFont="1" applyBorder="1"/>
    <xf numFmtId="1" fontId="13" fillId="0" borderId="62" xfId="0" applyNumberFormat="1" applyFont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0" fontId="0" fillId="2" borderId="62" xfId="0" applyFill="1" applyBorder="1"/>
    <xf numFmtId="164" fontId="0" fillId="0" borderId="56" xfId="0" applyNumberFormat="1" applyBorder="1"/>
    <xf numFmtId="164" fontId="0" fillId="0" borderId="24" xfId="0" applyNumberFormat="1" applyBorder="1"/>
    <xf numFmtId="164" fontId="0" fillId="0" borderId="28" xfId="0" applyNumberFormat="1" applyBorder="1"/>
    <xf numFmtId="3" fontId="0" fillId="0" borderId="56" xfId="0" applyNumberFormat="1" applyBorder="1"/>
    <xf numFmtId="164" fontId="0" fillId="0" borderId="12" xfId="0" applyNumberFormat="1" applyBorder="1"/>
    <xf numFmtId="164" fontId="0" fillId="0" borderId="16" xfId="0" applyNumberFormat="1" applyBorder="1"/>
    <xf numFmtId="164" fontId="0" fillId="0" borderId="29" xfId="0" applyNumberFormat="1" applyBorder="1"/>
    <xf numFmtId="164" fontId="0" fillId="0" borderId="19" xfId="0" applyNumberFormat="1" applyBorder="1"/>
    <xf numFmtId="3" fontId="0" fillId="0" borderId="29" xfId="0" applyNumberFormat="1" applyBorder="1"/>
    <xf numFmtId="164" fontId="12" fillId="0" borderId="13" xfId="0" applyNumberFormat="1" applyFont="1" applyBorder="1" applyAlignment="1">
      <alignment horizontal="center"/>
    </xf>
    <xf numFmtId="164" fontId="0" fillId="0" borderId="14" xfId="0" applyNumberFormat="1" applyBorder="1"/>
    <xf numFmtId="3" fontId="12" fillId="0" borderId="13" xfId="0" applyNumberFormat="1" applyFont="1" applyBorder="1"/>
    <xf numFmtId="3" fontId="0" fillId="0" borderId="14" xfId="0" applyNumberFormat="1" applyBorder="1"/>
    <xf numFmtId="164" fontId="12" fillId="0" borderId="15" xfId="0" applyNumberFormat="1" applyFont="1" applyBorder="1" applyAlignment="1">
      <alignment horizontal="center"/>
    </xf>
    <xf numFmtId="3" fontId="12" fillId="0" borderId="15" xfId="0" applyNumberFormat="1" applyFont="1" applyBorder="1"/>
    <xf numFmtId="164" fontId="12" fillId="0" borderId="17" xfId="0" applyNumberFormat="1" applyFont="1" applyBorder="1" applyAlignment="1">
      <alignment horizontal="center"/>
    </xf>
    <xf numFmtId="3" fontId="12" fillId="0" borderId="17" xfId="0" applyNumberFormat="1" applyFont="1" applyBorder="1"/>
    <xf numFmtId="0" fontId="15" fillId="0" borderId="0" xfId="0" applyFont="1"/>
    <xf numFmtId="0" fontId="9" fillId="0" borderId="69" xfId="0" applyFont="1" applyBorder="1" applyAlignment="1">
      <alignment horizontal="center"/>
    </xf>
    <xf numFmtId="168" fontId="0" fillId="0" borderId="14" xfId="0" applyNumberFormat="1" applyBorder="1"/>
    <xf numFmtId="3" fontId="0" fillId="0" borderId="63" xfId="0" applyNumberFormat="1" applyBorder="1"/>
    <xf numFmtId="0" fontId="0" fillId="0" borderId="64" xfId="0" applyBorder="1" applyAlignment="1">
      <alignment horizontal="center"/>
    </xf>
    <xf numFmtId="164" fontId="0" fillId="0" borderId="64" xfId="0" applyNumberFormat="1" applyBorder="1"/>
    <xf numFmtId="0" fontId="13" fillId="0" borderId="64" xfId="0" applyFont="1" applyBorder="1" applyAlignment="1">
      <alignment horizontal="center"/>
    </xf>
    <xf numFmtId="0" fontId="13" fillId="0" borderId="65" xfId="0" applyFont="1" applyBorder="1"/>
    <xf numFmtId="168" fontId="0" fillId="0" borderId="16" xfId="0" applyNumberFormat="1" applyBorder="1"/>
    <xf numFmtId="3" fontId="0" fillId="0" borderId="66" xfId="0" applyNumberFormat="1" applyBorder="1"/>
    <xf numFmtId="0" fontId="0" fillId="0" borderId="62" xfId="0" applyBorder="1" applyAlignment="1">
      <alignment horizontal="center"/>
    </xf>
    <xf numFmtId="164" fontId="0" fillId="0" borderId="62" xfId="0" applyNumberFormat="1" applyBorder="1" applyAlignment="1">
      <alignment horizontal="center"/>
    </xf>
    <xf numFmtId="164" fontId="0" fillId="0" borderId="62" xfId="0" applyNumberFormat="1" applyBorder="1"/>
    <xf numFmtId="167" fontId="13" fillId="0" borderId="62" xfId="0" applyNumberFormat="1" applyFont="1" applyBorder="1" applyAlignment="1">
      <alignment horizontal="center"/>
    </xf>
    <xf numFmtId="0" fontId="13" fillId="0" borderId="67" xfId="0" applyFont="1" applyBorder="1"/>
    <xf numFmtId="11" fontId="0" fillId="0" borderId="7" xfId="0" applyNumberFormat="1" applyBorder="1"/>
    <xf numFmtId="11" fontId="0" fillId="0" borderId="10" xfId="0" applyNumberFormat="1" applyBorder="1"/>
    <xf numFmtId="0" fontId="13" fillId="0" borderId="62" xfId="0" applyFont="1" applyBorder="1" applyAlignment="1">
      <alignment horizontal="center"/>
    </xf>
    <xf numFmtId="169" fontId="0" fillId="4" borderId="7" xfId="0" applyNumberFormat="1" applyFill="1" applyBorder="1"/>
    <xf numFmtId="170" fontId="0" fillId="4" borderId="16" xfId="0" applyNumberFormat="1" applyFill="1" applyBorder="1"/>
    <xf numFmtId="3" fontId="0" fillId="0" borderId="68" xfId="0" applyNumberFormat="1" applyBorder="1"/>
    <xf numFmtId="0" fontId="0" fillId="0" borderId="69" xfId="0" applyBorder="1" applyAlignment="1">
      <alignment horizontal="center"/>
    </xf>
    <xf numFmtId="164" fontId="0" fillId="0" borderId="69" xfId="0" applyNumberFormat="1" applyBorder="1" applyAlignment="1">
      <alignment horizontal="center"/>
    </xf>
    <xf numFmtId="164" fontId="0" fillId="0" borderId="69" xfId="0" applyNumberFormat="1" applyBorder="1"/>
    <xf numFmtId="167" fontId="13" fillId="0" borderId="69" xfId="0" applyNumberFormat="1" applyFont="1" applyBorder="1" applyAlignment="1">
      <alignment horizontal="center"/>
    </xf>
    <xf numFmtId="0" fontId="13" fillId="0" borderId="70" xfId="0" applyFont="1" applyBorder="1"/>
    <xf numFmtId="11" fontId="0" fillId="0" borderId="18" xfId="0" applyNumberFormat="1" applyBorder="1"/>
    <xf numFmtId="169" fontId="0" fillId="4" borderId="18" xfId="0" applyNumberFormat="1" applyFill="1" applyBorder="1"/>
    <xf numFmtId="11" fontId="0" fillId="0" borderId="60" xfId="0" applyNumberFormat="1" applyBorder="1"/>
    <xf numFmtId="170" fontId="0" fillId="4" borderId="19" xfId="0" applyNumberFormat="1" applyFill="1" applyBorder="1"/>
    <xf numFmtId="0" fontId="12" fillId="3" borderId="63" xfId="0" applyFont="1" applyFill="1" applyBorder="1" applyAlignment="1">
      <alignment horizontal="center" vertical="center" wrapText="1"/>
    </xf>
    <xf numFmtId="0" fontId="12" fillId="3" borderId="64" xfId="0" applyFont="1" applyFill="1" applyBorder="1" applyAlignment="1">
      <alignment horizontal="center" vertical="center" wrapText="1"/>
    </xf>
    <xf numFmtId="0" fontId="12" fillId="3" borderId="65" xfId="0" applyFont="1" applyFill="1" applyBorder="1" applyAlignment="1">
      <alignment horizontal="center" vertical="center" wrapText="1"/>
    </xf>
    <xf numFmtId="0" fontId="13" fillId="0" borderId="66" xfId="0" applyFont="1" applyBorder="1" applyAlignment="1">
      <alignment horizontal="center" vertical="center" wrapText="1"/>
    </xf>
    <xf numFmtId="0" fontId="13" fillId="0" borderId="67" xfId="0" applyFont="1" applyBorder="1" applyAlignment="1">
      <alignment horizontal="center" vertical="center" wrapText="1"/>
    </xf>
    <xf numFmtId="171" fontId="13" fillId="0" borderId="62" xfId="0" applyNumberFormat="1" applyFont="1" applyBorder="1" applyAlignment="1">
      <alignment horizontal="center" vertical="center" wrapText="1"/>
    </xf>
    <xf numFmtId="171" fontId="13" fillId="0" borderId="67" xfId="0" applyNumberFormat="1" applyFont="1" applyBorder="1" applyAlignment="1">
      <alignment horizontal="center" vertical="center" wrapText="1"/>
    </xf>
    <xf numFmtId="172" fontId="13" fillId="0" borderId="62" xfId="0" applyNumberFormat="1" applyFont="1" applyBorder="1" applyAlignment="1">
      <alignment horizontal="center" vertical="center" wrapText="1"/>
    </xf>
    <xf numFmtId="172" fontId="13" fillId="0" borderId="67" xfId="0" applyNumberFormat="1" applyFont="1" applyBorder="1" applyAlignment="1">
      <alignment horizontal="center" vertical="center" wrapText="1"/>
    </xf>
    <xf numFmtId="0" fontId="13" fillId="0" borderId="68" xfId="0" applyFont="1" applyBorder="1" applyAlignment="1">
      <alignment horizontal="center" vertical="center" wrapText="1"/>
    </xf>
    <xf numFmtId="0" fontId="13" fillId="0" borderId="69" xfId="0" applyFont="1" applyBorder="1" applyAlignment="1">
      <alignment horizontal="center" vertical="center" wrapText="1"/>
    </xf>
    <xf numFmtId="172" fontId="13" fillId="0" borderId="69" xfId="0" applyNumberFormat="1" applyFont="1" applyBorder="1" applyAlignment="1">
      <alignment horizontal="center" vertical="center" wrapText="1"/>
    </xf>
    <xf numFmtId="172" fontId="13" fillId="0" borderId="70" xfId="0" applyNumberFormat="1" applyFont="1" applyBorder="1" applyAlignment="1">
      <alignment horizontal="center" vertical="center" wrapText="1"/>
    </xf>
    <xf numFmtId="0" fontId="0" fillId="4" borderId="62" xfId="0" applyFill="1" applyBorder="1" applyAlignment="1">
      <alignment horizontal="center" vertical="center" wrapText="1"/>
    </xf>
    <xf numFmtId="0" fontId="12" fillId="3" borderId="62" xfId="0" applyFont="1" applyFill="1" applyBorder="1"/>
    <xf numFmtId="165" fontId="13" fillId="0" borderId="62" xfId="0" applyNumberFormat="1" applyFont="1" applyBorder="1"/>
    <xf numFmtId="166" fontId="13" fillId="0" borderId="62" xfId="0" applyNumberFormat="1" applyFont="1" applyBorder="1"/>
    <xf numFmtId="164" fontId="13" fillId="0" borderId="62" xfId="0" applyNumberFormat="1" applyFont="1" applyBorder="1"/>
    <xf numFmtId="3" fontId="13" fillId="0" borderId="62" xfId="0" applyNumberFormat="1" applyFont="1" applyBorder="1"/>
    <xf numFmtId="11" fontId="13" fillId="0" borderId="62" xfId="0" applyNumberFormat="1" applyFont="1" applyBorder="1"/>
    <xf numFmtId="0" fontId="1" fillId="0" borderId="59" xfId="0" applyFont="1" applyBorder="1" applyAlignment="1">
      <alignment horizontal="center" vertical="center"/>
    </xf>
    <xf numFmtId="0" fontId="0" fillId="0" borderId="31" xfId="0" applyBorder="1"/>
    <xf numFmtId="0" fontId="3" fillId="0" borderId="2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3" fontId="2" fillId="0" borderId="26" xfId="0" applyNumberFormat="1" applyFont="1" applyBorder="1" applyAlignment="1">
      <alignment horizontal="center" vertical="center" textRotation="90"/>
    </xf>
    <xf numFmtId="0" fontId="0" fillId="0" borderId="32" xfId="0" applyBorder="1"/>
    <xf numFmtId="0" fontId="0" fillId="0" borderId="61" xfId="0" applyBorder="1"/>
    <xf numFmtId="2" fontId="0" fillId="0" borderId="32" xfId="0" applyNumberFormat="1" applyBorder="1" applyAlignment="1">
      <alignment horizontal="center" vertical="center"/>
    </xf>
    <xf numFmtId="165" fontId="0" fillId="0" borderId="44" xfId="0" applyNumberFormat="1" applyBorder="1" applyAlignment="1">
      <alignment horizontal="center" vertical="center"/>
    </xf>
    <xf numFmtId="0" fontId="0" fillId="0" borderId="41" xfId="0" applyBorder="1"/>
    <xf numFmtId="0" fontId="0" fillId="0" borderId="44" xfId="0" applyBorder="1"/>
    <xf numFmtId="164" fontId="0" fillId="0" borderId="0" xfId="0" applyNumberFormat="1" applyAlignment="1">
      <alignment horizontal="center" vertical="center"/>
    </xf>
    <xf numFmtId="0" fontId="0" fillId="0" borderId="0" xfId="0"/>
    <xf numFmtId="166" fontId="0" fillId="0" borderId="40" xfId="0" applyNumberFormat="1" applyBorder="1" applyAlignment="1">
      <alignment horizontal="center" vertical="center"/>
    </xf>
    <xf numFmtId="0" fontId="0" fillId="0" borderId="40" xfId="0" applyBorder="1"/>
    <xf numFmtId="2" fontId="0" fillId="0" borderId="59" xfId="0" applyNumberForma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textRotation="90"/>
    </xf>
    <xf numFmtId="0" fontId="1" fillId="0" borderId="26" xfId="0" applyFont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2" fontId="0" fillId="0" borderId="31" xfId="0" applyNumberFormat="1" applyBorder="1" applyAlignment="1">
      <alignment horizontal="center" vertical="center"/>
    </xf>
    <xf numFmtId="165" fontId="0" fillId="0" borderId="41" xfId="0" applyNumberFormat="1" applyBorder="1" applyAlignment="1">
      <alignment horizontal="center" vertical="center"/>
    </xf>
    <xf numFmtId="166" fontId="0" fillId="0" borderId="59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0" fillId="0" borderId="43" xfId="0" applyBorder="1"/>
    <xf numFmtId="164" fontId="0" fillId="0" borderId="4" xfId="0" applyNumberFormat="1" applyBorder="1" applyAlignment="1">
      <alignment horizontal="center" vertical="center"/>
    </xf>
    <xf numFmtId="0" fontId="0" fillId="0" borderId="42" xfId="0" applyBorder="1"/>
    <xf numFmtId="166" fontId="0" fillId="0" borderId="42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left"/>
    </xf>
    <xf numFmtId="0" fontId="0" fillId="0" borderId="5" xfId="0" applyBorder="1"/>
    <xf numFmtId="0" fontId="5" fillId="0" borderId="4" xfId="0" applyFont="1" applyBorder="1" applyAlignment="1">
      <alignment horizontal="right"/>
    </xf>
    <xf numFmtId="0" fontId="5" fillId="0" borderId="6" xfId="0" applyFont="1" applyBorder="1" applyAlignment="1">
      <alignment horizontal="left"/>
    </xf>
    <xf numFmtId="0" fontId="0" fillId="0" borderId="6" xfId="0" applyBorder="1"/>
    <xf numFmtId="0" fontId="6" fillId="0" borderId="59" xfId="0" applyFont="1" applyBorder="1" applyAlignment="1">
      <alignment horizontal="center"/>
    </xf>
    <xf numFmtId="0" fontId="11" fillId="0" borderId="6" xfId="0" applyFont="1" applyBorder="1" applyAlignment="1">
      <alignment horizontal="center" vertical="top"/>
    </xf>
    <xf numFmtId="0" fontId="10" fillId="0" borderId="21" xfId="0" applyFont="1" applyBorder="1" applyAlignment="1">
      <alignment horizontal="center"/>
    </xf>
    <xf numFmtId="0" fontId="11" fillId="0" borderId="59" xfId="0" applyFont="1" applyBorder="1" applyAlignment="1">
      <alignment horizontal="center" vertical="top"/>
    </xf>
    <xf numFmtId="0" fontId="10" fillId="0" borderId="71" xfId="0" applyFont="1" applyBorder="1" applyAlignment="1">
      <alignment horizontal="center"/>
    </xf>
    <xf numFmtId="0" fontId="0" fillId="0" borderId="72" xfId="0" applyBorder="1"/>
    <xf numFmtId="0" fontId="0" fillId="0" borderId="73" xfId="0" applyBorder="1"/>
    <xf numFmtId="0" fontId="11" fillId="0" borderId="59" xfId="0" applyFont="1" applyBorder="1" applyAlignment="1">
      <alignment horizontal="center" vertical="center"/>
    </xf>
    <xf numFmtId="0" fontId="12" fillId="0" borderId="64" xfId="0" applyFont="1" applyBorder="1" applyAlignment="1">
      <alignment horizontal="center" vertical="center" wrapText="1"/>
    </xf>
    <xf numFmtId="0" fontId="0" fillId="0" borderId="69" xfId="0" applyBorder="1"/>
    <xf numFmtId="0" fontId="11" fillId="0" borderId="63" xfId="0" applyFont="1" applyBorder="1" applyAlignment="1">
      <alignment horizontal="center" vertical="center"/>
    </xf>
    <xf numFmtId="0" fontId="0" fillId="0" borderId="68" xfId="0" applyBorder="1"/>
    <xf numFmtId="0" fontId="11" fillId="0" borderId="64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 wrapText="1"/>
    </xf>
    <xf numFmtId="0" fontId="0" fillId="0" borderId="70" xfId="0" applyBorder="1"/>
    <xf numFmtId="0" fontId="11" fillId="0" borderId="64" xfId="0" applyFont="1" applyBorder="1" applyAlignment="1">
      <alignment horizontal="center" vertical="top"/>
    </xf>
    <xf numFmtId="0" fontId="0" fillId="0" borderId="6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Linear vs Binary Search – priemerný čas (ms)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Grafy!$X$4</c:f>
              <c:strCache>
                <c:ptCount val="1"/>
                <c:pt idx="0">
                  <c:v>Linear Search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Grafy!$W$5:$W$7</c:f>
              <c:strCache>
                <c:ptCount val="3"/>
                <c:pt idx="0">
                  <c:v>N1 = 10 000 000 – priemer</c:v>
                </c:pt>
                <c:pt idx="1">
                  <c:v>N2 = 100 000 000 – odhad</c:v>
                </c:pt>
                <c:pt idx="2">
                  <c:v>N2 = 100 000 000 – skutočnosť</c:v>
                </c:pt>
              </c:strCache>
            </c:strRef>
          </c:cat>
          <c:val>
            <c:numRef>
              <c:f>Grafy!$X$5:$X$7</c:f>
              <c:numCache>
                <c:formatCode>0.0000</c:formatCode>
                <c:ptCount val="3"/>
                <c:pt idx="0">
                  <c:v>126.77265400125179</c:v>
                </c:pt>
                <c:pt idx="1">
                  <c:v>1267.7265400125179</c:v>
                </c:pt>
                <c:pt idx="2">
                  <c:v>2130.6141083012335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3-7944-A5C3-28B715E247CA}"/>
            </c:ext>
          </c:extLst>
        </c:ser>
        <c:ser>
          <c:idx val="1"/>
          <c:order val="1"/>
          <c:tx>
            <c:strRef>
              <c:f>Grafy!$Y$4</c:f>
              <c:strCache>
                <c:ptCount val="1"/>
                <c:pt idx="0">
                  <c:v>Binary Search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Grafy!$W$5:$W$7</c:f>
              <c:strCache>
                <c:ptCount val="3"/>
                <c:pt idx="0">
                  <c:v>N1 = 10 000 000 – priemer</c:v>
                </c:pt>
                <c:pt idx="1">
                  <c:v>N2 = 100 000 000 – odhad</c:v>
                </c:pt>
                <c:pt idx="2">
                  <c:v>N2 = 100 000 000 – skutočnosť</c:v>
                </c:pt>
              </c:strCache>
            </c:strRef>
          </c:cat>
          <c:val>
            <c:numRef>
              <c:f>Grafy!$Y$5:$Y$7</c:f>
              <c:numCache>
                <c:formatCode>0.0000</c:formatCode>
                <c:ptCount val="3"/>
                <c:pt idx="0">
                  <c:v>4.7825564656199682E-3</c:v>
                </c:pt>
                <c:pt idx="1">
                  <c:v>5.4657788178513918E-3</c:v>
                </c:pt>
                <c:pt idx="2">
                  <c:v>3.576249728212133E-2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33-7944-A5C3-28B715E24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min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čas (ms)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Linear vs Binary Search – priemerný počet porovnaní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Grafy!$X$9</c:f>
              <c:strCache>
                <c:ptCount val="1"/>
                <c:pt idx="0">
                  <c:v>Linear Search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Grafy!$W$10:$W$12</c:f>
              <c:strCache>
                <c:ptCount val="3"/>
                <c:pt idx="0">
                  <c:v>N1 = 10 000 000 – priemer</c:v>
                </c:pt>
                <c:pt idx="1">
                  <c:v>N2 = 100 000 000 – odhad</c:v>
                </c:pt>
                <c:pt idx="2">
                  <c:v>N2 = 100 000 000 – skutočnosť</c:v>
                </c:pt>
              </c:strCache>
            </c:strRef>
          </c:cat>
          <c:val>
            <c:numRef>
              <c:f>Grafy!$X$10:$X$12</c:f>
              <c:numCache>
                <c:formatCode>#,##0.0</c:formatCode>
                <c:ptCount val="3"/>
                <c:pt idx="0">
                  <c:v>8226390.5</c:v>
                </c:pt>
                <c:pt idx="1">
                  <c:v>82263905</c:v>
                </c:pt>
                <c:pt idx="2">
                  <c:v>96884327.599999994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A-C843-B111-6847A28AD586}"/>
            </c:ext>
          </c:extLst>
        </c:ser>
        <c:ser>
          <c:idx val="1"/>
          <c:order val="1"/>
          <c:tx>
            <c:strRef>
              <c:f>Grafy!$Y$9</c:f>
              <c:strCache>
                <c:ptCount val="1"/>
                <c:pt idx="0">
                  <c:v>Binary Search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Grafy!$W$10:$W$12</c:f>
              <c:strCache>
                <c:ptCount val="3"/>
                <c:pt idx="0">
                  <c:v>N1 = 10 000 000 – priemer</c:v>
                </c:pt>
                <c:pt idx="1">
                  <c:v>N2 = 100 000 000 – odhad</c:v>
                </c:pt>
                <c:pt idx="2">
                  <c:v>N2 = 100 000 000 – skutočnosť</c:v>
                </c:pt>
              </c:strCache>
            </c:strRef>
          </c:cat>
          <c:val>
            <c:numRef>
              <c:f>Grafy!$Y$10:$Y$12</c:f>
              <c:numCache>
                <c:formatCode>#,##0.0</c:formatCode>
                <c:ptCount val="3"/>
                <c:pt idx="0">
                  <c:v>46</c:v>
                </c:pt>
                <c:pt idx="1">
                  <c:v>52.571428571428569</c:v>
                </c:pt>
                <c:pt idx="2">
                  <c:v>53.1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A-C843-B111-6847A28AD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min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počet porovnaní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Triedenie – doba zoraďovania (ms)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Grafy!$X$15</c:f>
              <c:strCache>
                <c:ptCount val="1"/>
                <c:pt idx="0">
                  <c:v>Bubble Sort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Grafy!$W$16:$W$18</c:f>
              <c:strCache>
                <c:ptCount val="3"/>
                <c:pt idx="0">
                  <c:v>N = 10 000 – priemer</c:v>
                </c:pt>
                <c:pt idx="1">
                  <c:v>N = 20 000 – odhad</c:v>
                </c:pt>
                <c:pt idx="2">
                  <c:v>N = 20 000 – skutočnosť</c:v>
                </c:pt>
              </c:strCache>
            </c:strRef>
          </c:cat>
          <c:val>
            <c:numRef>
              <c:f>Grafy!$X$16:$X$18</c:f>
              <c:numCache>
                <c:formatCode>0.000</c:formatCode>
                <c:ptCount val="3"/>
                <c:pt idx="0">
                  <c:v>1729.7121920040813</c:v>
                </c:pt>
                <c:pt idx="1">
                  <c:v>6918.8487680163253</c:v>
                </c:pt>
                <c:pt idx="2">
                  <c:v>6992.2205000038957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0-DF4B-8426-4AE16CAB83C3}"/>
            </c:ext>
          </c:extLst>
        </c:ser>
        <c:ser>
          <c:idx val="1"/>
          <c:order val="1"/>
          <c:tx>
            <c:strRef>
              <c:f>Grafy!$Y$15</c:f>
              <c:strCache>
                <c:ptCount val="1"/>
                <c:pt idx="0">
                  <c:v>Quick Sort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Grafy!$W$16:$W$18</c:f>
              <c:strCache>
                <c:ptCount val="3"/>
                <c:pt idx="0">
                  <c:v>N = 10 000 – priemer</c:v>
                </c:pt>
                <c:pt idx="1">
                  <c:v>N = 20 000 – odhad</c:v>
                </c:pt>
                <c:pt idx="2">
                  <c:v>N = 20 000 – skutočnosť</c:v>
                </c:pt>
              </c:strCache>
            </c:strRef>
          </c:cat>
          <c:val>
            <c:numRef>
              <c:f>Grafy!$Y$16:$Y$18</c:f>
              <c:numCache>
                <c:formatCode>0.000</c:formatCode>
                <c:ptCount val="3"/>
                <c:pt idx="0">
                  <c:v>6.0875750001287088</c:v>
                </c:pt>
                <c:pt idx="1">
                  <c:v>13.091421338203871</c:v>
                </c:pt>
                <c:pt idx="2">
                  <c:v>12.867233200813644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20-DF4B-8426-4AE16CAB83C3}"/>
            </c:ext>
          </c:extLst>
        </c:ser>
        <c:ser>
          <c:idx val="2"/>
          <c:order val="2"/>
          <c:tx>
            <c:strRef>
              <c:f>Grafy!$Z$15</c:f>
              <c:strCache>
                <c:ptCount val="1"/>
                <c:pt idx="0">
                  <c:v>Radix Sort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Grafy!$W$16:$W$18</c:f>
              <c:strCache>
                <c:ptCount val="3"/>
                <c:pt idx="0">
                  <c:v>N = 10 000 – priemer</c:v>
                </c:pt>
                <c:pt idx="1">
                  <c:v>N = 20 000 – odhad</c:v>
                </c:pt>
                <c:pt idx="2">
                  <c:v>N = 20 000 – skutočnosť</c:v>
                </c:pt>
              </c:strCache>
            </c:strRef>
          </c:cat>
          <c:val>
            <c:numRef>
              <c:f>Grafy!$Z$16:$Z$18</c:f>
              <c:numCache>
                <c:formatCode>0.000</c:formatCode>
                <c:ptCount val="3"/>
                <c:pt idx="0">
                  <c:v>3.8194415945326909</c:v>
                </c:pt>
                <c:pt idx="1">
                  <c:v>7.6388831890653819</c:v>
                </c:pt>
                <c:pt idx="2">
                  <c:v>7.7304499980527908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20-DF4B-8426-4AE16CAB8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min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čas (ms)</a:t>
                </a:r>
              </a:p>
            </c:rich>
          </c:tx>
          <c:overlay val="1"/>
        </c:title>
        <c:numFmt formatCode="General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Triedenie – počet porovnaní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Grafy!$X$20</c:f>
              <c:strCache>
                <c:ptCount val="1"/>
                <c:pt idx="0">
                  <c:v>Bubble Sort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Grafy!$W$21:$W$23</c:f>
              <c:strCache>
                <c:ptCount val="3"/>
                <c:pt idx="0">
                  <c:v>N = 10 000 – priemer</c:v>
                </c:pt>
                <c:pt idx="1">
                  <c:v>N = 20 000 – odhad</c:v>
                </c:pt>
                <c:pt idx="2">
                  <c:v>N = 20 000 – skutočnosť</c:v>
                </c:pt>
              </c:strCache>
            </c:strRef>
          </c:cat>
          <c:val>
            <c:numRef>
              <c:f>Grafy!$X$21:$X$23</c:f>
              <c:numCache>
                <c:formatCode>#,##0</c:formatCode>
                <c:ptCount val="3"/>
                <c:pt idx="0">
                  <c:v>49995000</c:v>
                </c:pt>
                <c:pt idx="1">
                  <c:v>199980000</c:v>
                </c:pt>
                <c:pt idx="2">
                  <c:v>199990000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0-9D49-83B3-930AC0FFEBD8}"/>
            </c:ext>
          </c:extLst>
        </c:ser>
        <c:ser>
          <c:idx val="1"/>
          <c:order val="1"/>
          <c:tx>
            <c:strRef>
              <c:f>Grafy!$Y$20</c:f>
              <c:strCache>
                <c:ptCount val="1"/>
                <c:pt idx="0">
                  <c:v>Quick Sort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Grafy!$W$21:$W$23</c:f>
              <c:strCache>
                <c:ptCount val="3"/>
                <c:pt idx="0">
                  <c:v>N = 10 000 – priemer</c:v>
                </c:pt>
                <c:pt idx="1">
                  <c:v>N = 20 000 – odhad</c:v>
                </c:pt>
                <c:pt idx="2">
                  <c:v>N = 20 000 – skutočnosť</c:v>
                </c:pt>
              </c:strCache>
            </c:strRef>
          </c:cat>
          <c:val>
            <c:numRef>
              <c:f>Grafy!$Y$21:$Y$23</c:f>
              <c:numCache>
                <c:formatCode>#,##0</c:formatCode>
                <c:ptCount val="3"/>
                <c:pt idx="0">
                  <c:v>244524.79999999999</c:v>
                </c:pt>
                <c:pt idx="1">
                  <c:v>525854.249741868</c:v>
                </c:pt>
                <c:pt idx="2">
                  <c:v>532476.19999999995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E0-9D49-83B3-930AC0FFEBD8}"/>
            </c:ext>
          </c:extLst>
        </c:ser>
        <c:ser>
          <c:idx val="2"/>
          <c:order val="2"/>
          <c:tx>
            <c:strRef>
              <c:f>Grafy!$Z$20</c:f>
              <c:strCache>
                <c:ptCount val="1"/>
                <c:pt idx="0">
                  <c:v>Radix Sort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Grafy!$W$21:$W$23</c:f>
              <c:strCache>
                <c:ptCount val="3"/>
                <c:pt idx="0">
                  <c:v>N = 10 000 – priemer</c:v>
                </c:pt>
                <c:pt idx="1">
                  <c:v>N = 20 000 – odhad</c:v>
                </c:pt>
                <c:pt idx="2">
                  <c:v>N = 20 000 – skutočnosť</c:v>
                </c:pt>
              </c:strCache>
            </c:strRef>
          </c:cat>
          <c:val>
            <c:numRef>
              <c:f>Grafy!$Z$21:$Z$23</c:f>
              <c:numCache>
                <c:formatCode>#,##0</c:formatCode>
                <c:ptCount val="3"/>
                <c:pt idx="0">
                  <c:v>10005</c:v>
                </c:pt>
                <c:pt idx="1">
                  <c:v>20010</c:v>
                </c:pt>
                <c:pt idx="2">
                  <c:v>20005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E0-9D49-83B3-930AC0FFEB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min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počet porovnaní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Triedenie – počet presunov dát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Grafy!$X$25</c:f>
              <c:strCache>
                <c:ptCount val="1"/>
                <c:pt idx="0">
                  <c:v>Bubble Sort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Grafy!$W$26:$W$28</c:f>
              <c:strCache>
                <c:ptCount val="3"/>
                <c:pt idx="0">
                  <c:v>N = 10 000 – priemer</c:v>
                </c:pt>
                <c:pt idx="1">
                  <c:v>N = 20 000 – odhad</c:v>
                </c:pt>
                <c:pt idx="2">
                  <c:v>N = 20 000 – skutočnosť</c:v>
                </c:pt>
              </c:strCache>
            </c:strRef>
          </c:cat>
          <c:val>
            <c:numRef>
              <c:f>Grafy!$X$26:$X$28</c:f>
              <c:numCache>
                <c:formatCode>#,##0</c:formatCode>
                <c:ptCount val="3"/>
                <c:pt idx="0">
                  <c:v>49989918.399999999</c:v>
                </c:pt>
                <c:pt idx="1">
                  <c:v>199959673.59999999</c:v>
                </c:pt>
                <c:pt idx="2">
                  <c:v>200526460.40000001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F2-934E-8448-F0B61E655A9A}"/>
            </c:ext>
          </c:extLst>
        </c:ser>
        <c:ser>
          <c:idx val="1"/>
          <c:order val="1"/>
          <c:tx>
            <c:strRef>
              <c:f>Grafy!$Y$25</c:f>
              <c:strCache>
                <c:ptCount val="1"/>
                <c:pt idx="0">
                  <c:v>Quick Sort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Grafy!$W$26:$W$28</c:f>
              <c:strCache>
                <c:ptCount val="3"/>
                <c:pt idx="0">
                  <c:v>N = 10 000 – priemer</c:v>
                </c:pt>
                <c:pt idx="1">
                  <c:v>N = 20 000 – odhad</c:v>
                </c:pt>
                <c:pt idx="2">
                  <c:v>N = 20 000 – skutočnosť</c:v>
                </c:pt>
              </c:strCache>
            </c:strRef>
          </c:cat>
          <c:val>
            <c:numRef>
              <c:f>Grafy!$Y$26:$Y$28</c:f>
              <c:numCache>
                <c:formatCode>#,##0</c:formatCode>
                <c:ptCount val="3"/>
                <c:pt idx="0">
                  <c:v>321666</c:v>
                </c:pt>
                <c:pt idx="1">
                  <c:v>691747.55729262508</c:v>
                </c:pt>
                <c:pt idx="2">
                  <c:v>696585.6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F2-934E-8448-F0B61E655A9A}"/>
            </c:ext>
          </c:extLst>
        </c:ser>
        <c:ser>
          <c:idx val="2"/>
          <c:order val="2"/>
          <c:tx>
            <c:strRef>
              <c:f>Grafy!$Z$25</c:f>
              <c:strCache>
                <c:ptCount val="1"/>
                <c:pt idx="0">
                  <c:v>Radix Sort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Grafy!$W$26:$W$28</c:f>
              <c:strCache>
                <c:ptCount val="3"/>
                <c:pt idx="0">
                  <c:v>N = 10 000 – priemer</c:v>
                </c:pt>
                <c:pt idx="1">
                  <c:v>N = 20 000 – odhad</c:v>
                </c:pt>
                <c:pt idx="2">
                  <c:v>N = 20 000 – skutočnosť</c:v>
                </c:pt>
              </c:strCache>
            </c:strRef>
          </c:cat>
          <c:val>
            <c:numRef>
              <c:f>Grafy!$Z$26:$Z$28</c:f>
              <c:numCache>
                <c:formatCode>#,##0</c:formatCode>
                <c:ptCount val="3"/>
                <c:pt idx="0">
                  <c:v>50000</c:v>
                </c:pt>
                <c:pt idx="1">
                  <c:v>100000</c:v>
                </c:pt>
                <c:pt idx="2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F2-934E-8448-F0B61E655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min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počet presunov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Jazdec – počet skúmaných ciest (≥ prerušené po limite)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Grafy!$X$31</c:f>
              <c:strCache>
                <c:ptCount val="1"/>
                <c:pt idx="0">
                  <c:v>DFS odhad</c:v>
                </c:pt>
              </c:strCache>
            </c:strRef>
          </c:tx>
          <c:spPr>
            <a:ln w="22000">
              <a:solidFill>
                <a:srgbClr val="C00000"/>
              </a:solidFill>
              <a:prstDash val="dash"/>
            </a:ln>
          </c:spPr>
          <c:marker>
            <c:symbol val="triang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Grafy!$W$32:$W$48</c:f>
              <c:strCache>
                <c:ptCount val="17"/>
                <c:pt idx="0">
                  <c:v>4 (0,0)</c:v>
                </c:pt>
                <c:pt idx="1">
                  <c:v>4 (1,0)</c:v>
                </c:pt>
                <c:pt idx="2">
                  <c:v>4 (1,1)</c:v>
                </c:pt>
                <c:pt idx="3">
                  <c:v>5 (0,0)</c:v>
                </c:pt>
                <c:pt idx="4">
                  <c:v>5 (1,0)</c:v>
                </c:pt>
                <c:pt idx="5">
                  <c:v>5 (2,0)</c:v>
                </c:pt>
                <c:pt idx="6">
                  <c:v>5 (1,1)</c:v>
                </c:pt>
                <c:pt idx="7">
                  <c:v>5 (2,1)</c:v>
                </c:pt>
                <c:pt idx="8">
                  <c:v>5 (2,2)</c:v>
                </c:pt>
                <c:pt idx="9">
                  <c:v>6 (0,0)</c:v>
                </c:pt>
                <c:pt idx="10">
                  <c:v>6 (1,0)</c:v>
                </c:pt>
                <c:pt idx="11">
                  <c:v>6 (2,0)</c:v>
                </c:pt>
                <c:pt idx="12">
                  <c:v>6 (1,1)</c:v>
                </c:pt>
                <c:pt idx="13">
                  <c:v>6 (2,1)</c:v>
                </c:pt>
                <c:pt idx="14">
                  <c:v>6 (2,2)</c:v>
                </c:pt>
                <c:pt idx="15">
                  <c:v>7 (0,0)</c:v>
                </c:pt>
                <c:pt idx="16">
                  <c:v>8 (0,0)</c:v>
                </c:pt>
              </c:strCache>
            </c:strRef>
          </c:cat>
          <c:val>
            <c:numRef>
              <c:f>Grafy!$X$32:$X$48</c:f>
              <c:numCache>
                <c:formatCode>0.00E+00</c:formatCode>
                <c:ptCount val="17"/>
                <c:pt idx="3">
                  <c:v>2386928074752</c:v>
                </c:pt>
                <c:pt idx="4">
                  <c:v>2024003338240</c:v>
                </c:pt>
                <c:pt idx="5">
                  <c:v>2024003338240</c:v>
                </c:pt>
                <c:pt idx="6">
                  <c:v>1611686477824</c:v>
                </c:pt>
                <c:pt idx="7">
                  <c:v>1611686477824</c:v>
                </c:pt>
                <c:pt idx="8">
                  <c:v>1611686477824</c:v>
                </c:pt>
                <c:pt idx="9">
                  <c:v>2.0503556037928167E+22</c:v>
                </c:pt>
                <c:pt idx="10">
                  <c:v>1.7386056289471252E+22</c:v>
                </c:pt>
                <c:pt idx="11">
                  <c:v>1.7386056289471252E+22</c:v>
                </c:pt>
                <c:pt idx="12">
                  <c:v>1.3844281427319018E+22</c:v>
                </c:pt>
                <c:pt idx="13">
                  <c:v>1.3844281427319018E+22</c:v>
                </c:pt>
                <c:pt idx="14">
                  <c:v>1.3844281427319018E+22</c:v>
                </c:pt>
                <c:pt idx="15">
                  <c:v>1.1271949137229416E+34</c:v>
                </c:pt>
                <c:pt idx="16">
                  <c:v>3.965964526106686E+47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8-1740-851F-48DBB3DA0327}"/>
            </c:ext>
          </c:extLst>
        </c:ser>
        <c:ser>
          <c:idx val="1"/>
          <c:order val="1"/>
          <c:tx>
            <c:strRef>
              <c:f>Grafy!$Y$31</c:f>
              <c:strCache>
                <c:ptCount val="1"/>
                <c:pt idx="0">
                  <c:v>DFS skutočnosť</c:v>
                </c:pt>
              </c:strCache>
            </c:strRef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Grafy!$W$32:$W$48</c:f>
              <c:strCache>
                <c:ptCount val="17"/>
                <c:pt idx="0">
                  <c:v>4 (0,0)</c:v>
                </c:pt>
                <c:pt idx="1">
                  <c:v>4 (1,0)</c:v>
                </c:pt>
                <c:pt idx="2">
                  <c:v>4 (1,1)</c:v>
                </c:pt>
                <c:pt idx="3">
                  <c:v>5 (0,0)</c:v>
                </c:pt>
                <c:pt idx="4">
                  <c:v>5 (1,0)</c:v>
                </c:pt>
                <c:pt idx="5">
                  <c:v>5 (2,0)</c:v>
                </c:pt>
                <c:pt idx="6">
                  <c:v>5 (1,1)</c:v>
                </c:pt>
                <c:pt idx="7">
                  <c:v>5 (2,1)</c:v>
                </c:pt>
                <c:pt idx="8">
                  <c:v>5 (2,2)</c:v>
                </c:pt>
                <c:pt idx="9">
                  <c:v>6 (0,0)</c:v>
                </c:pt>
                <c:pt idx="10">
                  <c:v>6 (1,0)</c:v>
                </c:pt>
                <c:pt idx="11">
                  <c:v>6 (2,0)</c:v>
                </c:pt>
                <c:pt idx="12">
                  <c:v>6 (1,1)</c:v>
                </c:pt>
                <c:pt idx="13">
                  <c:v>6 (2,1)</c:v>
                </c:pt>
                <c:pt idx="14">
                  <c:v>6 (2,2)</c:v>
                </c:pt>
                <c:pt idx="15">
                  <c:v>7 (0,0)</c:v>
                </c:pt>
                <c:pt idx="16">
                  <c:v>8 (0,0)</c:v>
                </c:pt>
              </c:strCache>
            </c:strRef>
          </c:cat>
          <c:val>
            <c:numRef>
              <c:f>Grafy!$Y$32:$Y$48</c:f>
              <c:numCache>
                <c:formatCode>0.00E+00</c:formatCode>
                <c:ptCount val="17"/>
                <c:pt idx="0">
                  <c:v>17784</c:v>
                </c:pt>
                <c:pt idx="1">
                  <c:v>15080</c:v>
                </c:pt>
                <c:pt idx="2">
                  <c:v>12008</c:v>
                </c:pt>
                <c:pt idx="3">
                  <c:v>410528</c:v>
                </c:pt>
                <c:pt idx="4">
                  <c:v>14635368</c:v>
                </c:pt>
                <c:pt idx="5">
                  <c:v>310629</c:v>
                </c:pt>
                <c:pt idx="6">
                  <c:v>5019640</c:v>
                </c:pt>
                <c:pt idx="7">
                  <c:v>8231144</c:v>
                </c:pt>
                <c:pt idx="8">
                  <c:v>283713</c:v>
                </c:pt>
                <c:pt idx="9">
                  <c:v>1277366</c:v>
                </c:pt>
                <c:pt idx="10">
                  <c:v>756000019</c:v>
                </c:pt>
                <c:pt idx="11">
                  <c:v>205620</c:v>
                </c:pt>
                <c:pt idx="12">
                  <c:v>14288574</c:v>
                </c:pt>
                <c:pt idx="13">
                  <c:v>783000002</c:v>
                </c:pt>
                <c:pt idx="14">
                  <c:v>5365424</c:v>
                </c:pt>
                <c:pt idx="15">
                  <c:v>593781</c:v>
                </c:pt>
                <c:pt idx="16">
                  <c:v>412000011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8-1740-851F-48DBB3DA0327}"/>
            </c:ext>
          </c:extLst>
        </c:ser>
        <c:ser>
          <c:idx val="2"/>
          <c:order val="2"/>
          <c:tx>
            <c:strRef>
              <c:f>Grafy!$Z$31</c:f>
              <c:strCache>
                <c:ptCount val="1"/>
                <c:pt idx="0">
                  <c:v>BFS odhad</c:v>
                </c:pt>
              </c:strCache>
            </c:strRef>
          </c:tx>
          <c:spPr>
            <a:ln w="22000">
              <a:solidFill>
                <a:srgbClr val="2E75B6"/>
              </a:solidFill>
              <a:prstDash val="dash"/>
            </a:ln>
          </c:spPr>
          <c:marker>
            <c:symbol val="triangle"/>
            <c:size val="6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cat>
            <c:strRef>
              <c:f>Grafy!$W$32:$W$48</c:f>
              <c:strCache>
                <c:ptCount val="17"/>
                <c:pt idx="0">
                  <c:v>4 (0,0)</c:v>
                </c:pt>
                <c:pt idx="1">
                  <c:v>4 (1,0)</c:v>
                </c:pt>
                <c:pt idx="2">
                  <c:v>4 (1,1)</c:v>
                </c:pt>
                <c:pt idx="3">
                  <c:v>5 (0,0)</c:v>
                </c:pt>
                <c:pt idx="4">
                  <c:v>5 (1,0)</c:v>
                </c:pt>
                <c:pt idx="5">
                  <c:v>5 (2,0)</c:v>
                </c:pt>
                <c:pt idx="6">
                  <c:v>5 (1,1)</c:v>
                </c:pt>
                <c:pt idx="7">
                  <c:v>5 (2,1)</c:v>
                </c:pt>
                <c:pt idx="8">
                  <c:v>5 (2,2)</c:v>
                </c:pt>
                <c:pt idx="9">
                  <c:v>6 (0,0)</c:v>
                </c:pt>
                <c:pt idx="10">
                  <c:v>6 (1,0)</c:v>
                </c:pt>
                <c:pt idx="11">
                  <c:v>6 (2,0)</c:v>
                </c:pt>
                <c:pt idx="12">
                  <c:v>6 (1,1)</c:v>
                </c:pt>
                <c:pt idx="13">
                  <c:v>6 (2,1)</c:v>
                </c:pt>
                <c:pt idx="14">
                  <c:v>6 (2,2)</c:v>
                </c:pt>
                <c:pt idx="15">
                  <c:v>7 (0,0)</c:v>
                </c:pt>
                <c:pt idx="16">
                  <c:v>8 (0,0)</c:v>
                </c:pt>
              </c:strCache>
            </c:strRef>
          </c:cat>
          <c:val>
            <c:numRef>
              <c:f>Grafy!$Z$32:$Z$48</c:f>
              <c:numCache>
                <c:formatCode>0.00E+00</c:formatCode>
                <c:ptCount val="17"/>
                <c:pt idx="3">
                  <c:v>2386928074752</c:v>
                </c:pt>
                <c:pt idx="4">
                  <c:v>2024003338240</c:v>
                </c:pt>
                <c:pt idx="5">
                  <c:v>2024003338240</c:v>
                </c:pt>
                <c:pt idx="6">
                  <c:v>1611686477824</c:v>
                </c:pt>
                <c:pt idx="7">
                  <c:v>1611686477824</c:v>
                </c:pt>
                <c:pt idx="8">
                  <c:v>1611686477824</c:v>
                </c:pt>
                <c:pt idx="9">
                  <c:v>2.0503556037928167E+22</c:v>
                </c:pt>
                <c:pt idx="10">
                  <c:v>1.7386056289471252E+22</c:v>
                </c:pt>
                <c:pt idx="11">
                  <c:v>1.7386056289471252E+22</c:v>
                </c:pt>
                <c:pt idx="12">
                  <c:v>1.3844281427319018E+22</c:v>
                </c:pt>
                <c:pt idx="13">
                  <c:v>1.3844281427319018E+22</c:v>
                </c:pt>
                <c:pt idx="14">
                  <c:v>1.3844281427319018E+22</c:v>
                </c:pt>
                <c:pt idx="15">
                  <c:v>1.1271949137229416E+34</c:v>
                </c:pt>
                <c:pt idx="16">
                  <c:v>3.965964526106686E+47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48-1740-851F-48DBB3DA0327}"/>
            </c:ext>
          </c:extLst>
        </c:ser>
        <c:ser>
          <c:idx val="3"/>
          <c:order val="3"/>
          <c:tx>
            <c:strRef>
              <c:f>Grafy!$AA$31</c:f>
              <c:strCache>
                <c:ptCount val="1"/>
                <c:pt idx="0">
                  <c:v>BFS skutočnosť</c:v>
                </c:pt>
              </c:strCache>
            </c:strRef>
          </c:tx>
          <c:spPr>
            <a:ln w="22000">
              <a:solidFill>
                <a:srgbClr val="2E75B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cat>
            <c:strRef>
              <c:f>Grafy!$W$32:$W$48</c:f>
              <c:strCache>
                <c:ptCount val="17"/>
                <c:pt idx="0">
                  <c:v>4 (0,0)</c:v>
                </c:pt>
                <c:pt idx="1">
                  <c:v>4 (1,0)</c:v>
                </c:pt>
                <c:pt idx="2">
                  <c:v>4 (1,1)</c:v>
                </c:pt>
                <c:pt idx="3">
                  <c:v>5 (0,0)</c:v>
                </c:pt>
                <c:pt idx="4">
                  <c:v>5 (1,0)</c:v>
                </c:pt>
                <c:pt idx="5">
                  <c:v>5 (2,0)</c:v>
                </c:pt>
                <c:pt idx="6">
                  <c:v>5 (1,1)</c:v>
                </c:pt>
                <c:pt idx="7">
                  <c:v>5 (2,1)</c:v>
                </c:pt>
                <c:pt idx="8">
                  <c:v>5 (2,2)</c:v>
                </c:pt>
                <c:pt idx="9">
                  <c:v>6 (0,0)</c:v>
                </c:pt>
                <c:pt idx="10">
                  <c:v>6 (1,0)</c:v>
                </c:pt>
                <c:pt idx="11">
                  <c:v>6 (2,0)</c:v>
                </c:pt>
                <c:pt idx="12">
                  <c:v>6 (1,1)</c:v>
                </c:pt>
                <c:pt idx="13">
                  <c:v>6 (2,1)</c:v>
                </c:pt>
                <c:pt idx="14">
                  <c:v>6 (2,2)</c:v>
                </c:pt>
                <c:pt idx="15">
                  <c:v>7 (0,0)</c:v>
                </c:pt>
                <c:pt idx="16">
                  <c:v>8 (0,0)</c:v>
                </c:pt>
              </c:strCache>
            </c:strRef>
          </c:cat>
          <c:val>
            <c:numRef>
              <c:f>Grafy!$AA$32:$AA$48</c:f>
              <c:numCache>
                <c:formatCode>0.00E+00</c:formatCode>
                <c:ptCount val="17"/>
                <c:pt idx="0">
                  <c:v>17784</c:v>
                </c:pt>
                <c:pt idx="1">
                  <c:v>15080</c:v>
                </c:pt>
                <c:pt idx="2">
                  <c:v>12008</c:v>
                </c:pt>
                <c:pt idx="3">
                  <c:v>13878200</c:v>
                </c:pt>
                <c:pt idx="4">
                  <c:v>14635368</c:v>
                </c:pt>
                <c:pt idx="5">
                  <c:v>11631464</c:v>
                </c:pt>
                <c:pt idx="6">
                  <c:v>11723368</c:v>
                </c:pt>
                <c:pt idx="7">
                  <c:v>8231144</c:v>
                </c:pt>
                <c:pt idx="8">
                  <c:v>5132104</c:v>
                </c:pt>
                <c:pt idx="9">
                  <c:v>115000000</c:v>
                </c:pt>
                <c:pt idx="10">
                  <c:v>81000000</c:v>
                </c:pt>
                <c:pt idx="11">
                  <c:v>84000000</c:v>
                </c:pt>
                <c:pt idx="12">
                  <c:v>86000000</c:v>
                </c:pt>
                <c:pt idx="13">
                  <c:v>87000000</c:v>
                </c:pt>
                <c:pt idx="14">
                  <c:v>143000000</c:v>
                </c:pt>
                <c:pt idx="15">
                  <c:v>75000000</c:v>
                </c:pt>
                <c:pt idx="16">
                  <c:v>54000000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48-1740-851F-48DBB3DA0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 (štart x,y)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800"/>
            </a:pPr>
            <a:endParaRPr lang="en-US"/>
          </a:p>
        </c:txPr>
        <c:crossAx val="100"/>
        <c:crosses val="min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počet ciest</a:t>
                </a:r>
              </a:p>
            </c:rich>
          </c:tx>
          <c:overlay val="1"/>
        </c:title>
        <c:numFmt formatCode="0E+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Jazdec – čas (ms) (≥ prerušené po limite)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Grafy!$X$50</c:f>
              <c:strCache>
                <c:ptCount val="1"/>
                <c:pt idx="0">
                  <c:v>DFS odhad</c:v>
                </c:pt>
              </c:strCache>
            </c:strRef>
          </c:tx>
          <c:spPr>
            <a:ln w="22000">
              <a:solidFill>
                <a:srgbClr val="C00000"/>
              </a:solidFill>
              <a:prstDash val="dash"/>
            </a:ln>
          </c:spPr>
          <c:marker>
            <c:symbol val="triang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Grafy!$W$51:$W$67</c:f>
              <c:strCache>
                <c:ptCount val="17"/>
                <c:pt idx="0">
                  <c:v>4 (0,0)</c:v>
                </c:pt>
                <c:pt idx="1">
                  <c:v>4 (1,0)</c:v>
                </c:pt>
                <c:pt idx="2">
                  <c:v>4 (1,1)</c:v>
                </c:pt>
                <c:pt idx="3">
                  <c:v>5 (0,0)</c:v>
                </c:pt>
                <c:pt idx="4">
                  <c:v>5 (1,0)</c:v>
                </c:pt>
                <c:pt idx="5">
                  <c:v>5 (2,0)</c:v>
                </c:pt>
                <c:pt idx="6">
                  <c:v>5 (1,1)</c:v>
                </c:pt>
                <c:pt idx="7">
                  <c:v>5 (2,1)</c:v>
                </c:pt>
                <c:pt idx="8">
                  <c:v>5 (2,2)</c:v>
                </c:pt>
                <c:pt idx="9">
                  <c:v>6 (0,0)</c:v>
                </c:pt>
                <c:pt idx="10">
                  <c:v>6 (1,0)</c:v>
                </c:pt>
                <c:pt idx="11">
                  <c:v>6 (2,0)</c:v>
                </c:pt>
                <c:pt idx="12">
                  <c:v>6 (1,1)</c:v>
                </c:pt>
                <c:pt idx="13">
                  <c:v>6 (2,1)</c:v>
                </c:pt>
                <c:pt idx="14">
                  <c:v>6 (2,2)</c:v>
                </c:pt>
                <c:pt idx="15">
                  <c:v>7 (0,0)</c:v>
                </c:pt>
                <c:pt idx="16">
                  <c:v>8 (0,0)</c:v>
                </c:pt>
              </c:strCache>
            </c:strRef>
          </c:cat>
          <c:val>
            <c:numRef>
              <c:f>Grafy!$X$51:$X$67</c:f>
              <c:numCache>
                <c:formatCode>0.00E+00</c:formatCode>
                <c:ptCount val="17"/>
                <c:pt idx="3">
                  <c:v>241457693.35937503</c:v>
                </c:pt>
                <c:pt idx="4">
                  <c:v>197406361.32812494</c:v>
                </c:pt>
                <c:pt idx="5">
                  <c:v>197406361.32812494</c:v>
                </c:pt>
                <c:pt idx="6">
                  <c:v>153684800.78124997</c:v>
                </c:pt>
                <c:pt idx="7">
                  <c:v>153684800.78124997</c:v>
                </c:pt>
                <c:pt idx="8">
                  <c:v>153684800.78124997</c:v>
                </c:pt>
                <c:pt idx="9">
                  <c:v>2.0741057926922243E+18</c:v>
                </c:pt>
                <c:pt idx="10">
                  <c:v>1.6957077318533115E+18</c:v>
                </c:pt>
                <c:pt idx="11">
                  <c:v>1.6957077318533115E+18</c:v>
                </c:pt>
                <c:pt idx="12">
                  <c:v>1.3201423864954877E+18</c:v>
                </c:pt>
                <c:pt idx="13">
                  <c:v>1.3201423864954877E+18</c:v>
                </c:pt>
                <c:pt idx="14">
                  <c:v>1.3201423864954877E+18</c:v>
                </c:pt>
                <c:pt idx="15">
                  <c:v>1.1402517181513291E+30</c:v>
                </c:pt>
                <c:pt idx="16">
                  <c:v>4.0119040726366358E+43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2-AC4C-9ABB-17F8CE9856A8}"/>
            </c:ext>
          </c:extLst>
        </c:ser>
        <c:ser>
          <c:idx val="1"/>
          <c:order val="1"/>
          <c:tx>
            <c:strRef>
              <c:f>Grafy!$Y$50</c:f>
              <c:strCache>
                <c:ptCount val="1"/>
                <c:pt idx="0">
                  <c:v>DFS skutočnosť</c:v>
                </c:pt>
              </c:strCache>
            </c:strRef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cat>
            <c:strRef>
              <c:f>Grafy!$W$51:$W$67</c:f>
              <c:strCache>
                <c:ptCount val="17"/>
                <c:pt idx="0">
                  <c:v>4 (0,0)</c:v>
                </c:pt>
                <c:pt idx="1">
                  <c:v>4 (1,0)</c:v>
                </c:pt>
                <c:pt idx="2">
                  <c:v>4 (1,1)</c:v>
                </c:pt>
                <c:pt idx="3">
                  <c:v>5 (0,0)</c:v>
                </c:pt>
                <c:pt idx="4">
                  <c:v>5 (1,0)</c:v>
                </c:pt>
                <c:pt idx="5">
                  <c:v>5 (2,0)</c:v>
                </c:pt>
                <c:pt idx="6">
                  <c:v>5 (1,1)</c:v>
                </c:pt>
                <c:pt idx="7">
                  <c:v>5 (2,1)</c:v>
                </c:pt>
                <c:pt idx="8">
                  <c:v>5 (2,2)</c:v>
                </c:pt>
                <c:pt idx="9">
                  <c:v>6 (0,0)</c:v>
                </c:pt>
                <c:pt idx="10">
                  <c:v>6 (1,0)</c:v>
                </c:pt>
                <c:pt idx="11">
                  <c:v>6 (2,0)</c:v>
                </c:pt>
                <c:pt idx="12">
                  <c:v>6 (1,1)</c:v>
                </c:pt>
                <c:pt idx="13">
                  <c:v>6 (2,1)</c:v>
                </c:pt>
                <c:pt idx="14">
                  <c:v>6 (2,2)</c:v>
                </c:pt>
                <c:pt idx="15">
                  <c:v>7 (0,0)</c:v>
                </c:pt>
                <c:pt idx="16">
                  <c:v>8 (0,0)</c:v>
                </c:pt>
              </c:strCache>
            </c:strRef>
          </c:cat>
          <c:val>
            <c:numRef>
              <c:f>Grafy!$Y$51:$Y$67</c:f>
              <c:numCache>
                <c:formatCode>0.00E+00</c:formatCode>
                <c:ptCount val="17"/>
                <c:pt idx="0">
                  <c:v>1.7990000051213431</c:v>
                </c:pt>
                <c:pt idx="1">
                  <c:v>1.470792005420662</c:v>
                </c:pt>
                <c:pt idx="2">
                  <c:v>1.145040994742885</c:v>
                </c:pt>
                <c:pt idx="3">
                  <c:v>49.260999992839061</c:v>
                </c:pt>
                <c:pt idx="4">
                  <c:v>1685.13716700545</c:v>
                </c:pt>
                <c:pt idx="5">
                  <c:v>36.362416998599663</c:v>
                </c:pt>
                <c:pt idx="6">
                  <c:v>555.51079199358355</c:v>
                </c:pt>
                <c:pt idx="7">
                  <c:v>929.20404199685436</c:v>
                </c:pt>
                <c:pt idx="8">
                  <c:v>30.682415992487218</c:v>
                </c:pt>
                <c:pt idx="9">
                  <c:v>203.86812501237731</c:v>
                </c:pt>
                <c:pt idx="10">
                  <c:v>120143.2562090049</c:v>
                </c:pt>
                <c:pt idx="11">
                  <c:v>33.929291996173561</c:v>
                </c:pt>
                <c:pt idx="12">
                  <c:v>2134.4712080026511</c:v>
                </c:pt>
                <c:pt idx="13">
                  <c:v>120081.6350839887</c:v>
                </c:pt>
                <c:pt idx="14">
                  <c:v>790.78041700995527</c:v>
                </c:pt>
                <c:pt idx="15">
                  <c:v>129.39395800640341</c:v>
                </c:pt>
                <c:pt idx="16">
                  <c:v>120096.19608300269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52-AC4C-9ABB-17F8CE9856A8}"/>
            </c:ext>
          </c:extLst>
        </c:ser>
        <c:ser>
          <c:idx val="2"/>
          <c:order val="2"/>
          <c:tx>
            <c:strRef>
              <c:f>Grafy!$Z$50</c:f>
              <c:strCache>
                <c:ptCount val="1"/>
                <c:pt idx="0">
                  <c:v>BFS odhad</c:v>
                </c:pt>
              </c:strCache>
            </c:strRef>
          </c:tx>
          <c:spPr>
            <a:ln w="22000">
              <a:solidFill>
                <a:srgbClr val="2E75B6"/>
              </a:solidFill>
              <a:prstDash val="dash"/>
            </a:ln>
          </c:spPr>
          <c:marker>
            <c:symbol val="triangle"/>
            <c:size val="6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cat>
            <c:strRef>
              <c:f>Grafy!$W$51:$W$67</c:f>
              <c:strCache>
                <c:ptCount val="17"/>
                <c:pt idx="0">
                  <c:v>4 (0,0)</c:v>
                </c:pt>
                <c:pt idx="1">
                  <c:v>4 (1,0)</c:v>
                </c:pt>
                <c:pt idx="2">
                  <c:v>4 (1,1)</c:v>
                </c:pt>
                <c:pt idx="3">
                  <c:v>5 (0,0)</c:v>
                </c:pt>
                <c:pt idx="4">
                  <c:v>5 (1,0)</c:v>
                </c:pt>
                <c:pt idx="5">
                  <c:v>5 (2,0)</c:v>
                </c:pt>
                <c:pt idx="6">
                  <c:v>5 (1,1)</c:v>
                </c:pt>
                <c:pt idx="7">
                  <c:v>5 (2,1)</c:v>
                </c:pt>
                <c:pt idx="8">
                  <c:v>5 (2,2)</c:v>
                </c:pt>
                <c:pt idx="9">
                  <c:v>6 (0,0)</c:v>
                </c:pt>
                <c:pt idx="10">
                  <c:v>6 (1,0)</c:v>
                </c:pt>
                <c:pt idx="11">
                  <c:v>6 (2,0)</c:v>
                </c:pt>
                <c:pt idx="12">
                  <c:v>6 (1,1)</c:v>
                </c:pt>
                <c:pt idx="13">
                  <c:v>6 (2,1)</c:v>
                </c:pt>
                <c:pt idx="14">
                  <c:v>6 (2,2)</c:v>
                </c:pt>
                <c:pt idx="15">
                  <c:v>7 (0,0)</c:v>
                </c:pt>
                <c:pt idx="16">
                  <c:v>8 (0,0)</c:v>
                </c:pt>
              </c:strCache>
            </c:strRef>
          </c:cat>
          <c:val>
            <c:numRef>
              <c:f>Grafy!$Z$51:$Z$67</c:f>
              <c:numCache>
                <c:formatCode>0.00E+00</c:formatCode>
                <c:ptCount val="17"/>
                <c:pt idx="3">
                  <c:v>204066914.06250003</c:v>
                </c:pt>
                <c:pt idx="4">
                  <c:v>153545080.07812506</c:v>
                </c:pt>
                <c:pt idx="5">
                  <c:v>153545080.07812506</c:v>
                </c:pt>
                <c:pt idx="6">
                  <c:v>119610275.390625</c:v>
                </c:pt>
                <c:pt idx="7">
                  <c:v>119610275.390625</c:v>
                </c:pt>
                <c:pt idx="8">
                  <c:v>119610275.390625</c:v>
                </c:pt>
                <c:pt idx="9">
                  <c:v>1.7529214441881603E+18</c:v>
                </c:pt>
                <c:pt idx="10">
                  <c:v>1.3189421947944965E+18</c:v>
                </c:pt>
                <c:pt idx="11">
                  <c:v>1.3189421947944965E+18</c:v>
                </c:pt>
                <c:pt idx="12">
                  <c:v>1.027444442136576E+18</c:v>
                </c:pt>
                <c:pt idx="13">
                  <c:v>1.027444442136576E+18</c:v>
                </c:pt>
                <c:pt idx="14">
                  <c:v>1.027444442136576E+18</c:v>
                </c:pt>
                <c:pt idx="15">
                  <c:v>9.6367875523139041E+29</c:v>
                </c:pt>
                <c:pt idx="16">
                  <c:v>3.3906431898163697E+43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52-AC4C-9ABB-17F8CE9856A8}"/>
            </c:ext>
          </c:extLst>
        </c:ser>
        <c:ser>
          <c:idx val="3"/>
          <c:order val="3"/>
          <c:tx>
            <c:strRef>
              <c:f>Grafy!$AA$50</c:f>
              <c:strCache>
                <c:ptCount val="1"/>
                <c:pt idx="0">
                  <c:v>BFS skutočnosť</c:v>
                </c:pt>
              </c:strCache>
            </c:strRef>
          </c:tx>
          <c:spPr>
            <a:ln w="22000">
              <a:solidFill>
                <a:srgbClr val="2E75B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cat>
            <c:strRef>
              <c:f>Grafy!$W$51:$W$67</c:f>
              <c:strCache>
                <c:ptCount val="17"/>
                <c:pt idx="0">
                  <c:v>4 (0,0)</c:v>
                </c:pt>
                <c:pt idx="1">
                  <c:v>4 (1,0)</c:v>
                </c:pt>
                <c:pt idx="2">
                  <c:v>4 (1,1)</c:v>
                </c:pt>
                <c:pt idx="3">
                  <c:v>5 (0,0)</c:v>
                </c:pt>
                <c:pt idx="4">
                  <c:v>5 (1,0)</c:v>
                </c:pt>
                <c:pt idx="5">
                  <c:v>5 (2,0)</c:v>
                </c:pt>
                <c:pt idx="6">
                  <c:v>5 (1,1)</c:v>
                </c:pt>
                <c:pt idx="7">
                  <c:v>5 (2,1)</c:v>
                </c:pt>
                <c:pt idx="8">
                  <c:v>5 (2,2)</c:v>
                </c:pt>
                <c:pt idx="9">
                  <c:v>6 (0,0)</c:v>
                </c:pt>
                <c:pt idx="10">
                  <c:v>6 (1,0)</c:v>
                </c:pt>
                <c:pt idx="11">
                  <c:v>6 (2,0)</c:v>
                </c:pt>
                <c:pt idx="12">
                  <c:v>6 (1,1)</c:v>
                </c:pt>
                <c:pt idx="13">
                  <c:v>6 (2,1)</c:v>
                </c:pt>
                <c:pt idx="14">
                  <c:v>6 (2,2)</c:v>
                </c:pt>
                <c:pt idx="15">
                  <c:v>7 (0,0)</c:v>
                </c:pt>
                <c:pt idx="16">
                  <c:v>8 (0,0)</c:v>
                </c:pt>
              </c:strCache>
            </c:strRef>
          </c:cat>
          <c:val>
            <c:numRef>
              <c:f>Grafy!$AA$51:$AA$67</c:f>
              <c:numCache>
                <c:formatCode>0.00E+00</c:formatCode>
                <c:ptCount val="17"/>
                <c:pt idx="0">
                  <c:v>1.520416990388185</c:v>
                </c:pt>
                <c:pt idx="1">
                  <c:v>1.143999994383194</c:v>
                </c:pt>
                <c:pt idx="2">
                  <c:v>0.89116599701810628</c:v>
                </c:pt>
                <c:pt idx="3">
                  <c:v>1659.908291010652</c:v>
                </c:pt>
                <c:pt idx="4">
                  <c:v>1721.2991669948681</c:v>
                </c:pt>
                <c:pt idx="5">
                  <c:v>1338.121499997214</c:v>
                </c:pt>
                <c:pt idx="6">
                  <c:v>1345.411665999563</c:v>
                </c:pt>
                <c:pt idx="7">
                  <c:v>995.62829099886585</c:v>
                </c:pt>
                <c:pt idx="8">
                  <c:v>620.91079200035892</c:v>
                </c:pt>
                <c:pt idx="9">
                  <c:v>18413.979625009229</c:v>
                </c:pt>
                <c:pt idx="10">
                  <c:v>11691.55895800213</c:v>
                </c:pt>
                <c:pt idx="11">
                  <c:v>12049.640666999039</c:v>
                </c:pt>
                <c:pt idx="12">
                  <c:v>12129.66708399472</c:v>
                </c:pt>
                <c:pt idx="13">
                  <c:v>13065.34200000169</c:v>
                </c:pt>
                <c:pt idx="14">
                  <c:v>20787.520375000899</c:v>
                </c:pt>
                <c:pt idx="15">
                  <c:v>13044.871000005511</c:v>
                </c:pt>
                <c:pt idx="16">
                  <c:v>9415.4975830024341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D52-AC4C-9ABB-17F8CE985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n (štart x,y)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800"/>
            </a:pPr>
            <a:endParaRPr lang="en-US"/>
          </a:p>
        </c:txPr>
        <c:crossAx val="100"/>
        <c:crosses val="min"/>
        <c:auto val="1"/>
        <c:lblAlgn val="ctr"/>
        <c:lblOffset val="100"/>
        <c:noMultiLvlLbl val="1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čas (ms)</a:t>
                </a:r>
              </a:p>
            </c:rich>
          </c:tx>
          <c:overlay val="1"/>
        </c:title>
        <c:numFmt formatCode="0E+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Flood Fill – skutočnosť (body) a odhad O(n) (čiara)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BFS skutočnosť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xVal>
            <c:numRef>
              <c:f>Grafy!$X$71:$X$74</c:f>
              <c:numCache>
                <c:formatCode>#,##0</c:formatCode>
                <c:ptCount val="4"/>
                <c:pt idx="0">
                  <c:v>8836</c:v>
                </c:pt>
                <c:pt idx="1">
                  <c:v>67800</c:v>
                </c:pt>
                <c:pt idx="2">
                  <c:v>155109</c:v>
                </c:pt>
                <c:pt idx="3">
                  <c:v>480700</c:v>
                </c:pt>
              </c:numCache>
            </c:numRef>
          </c:xVal>
          <c:yVal>
            <c:numRef>
              <c:f>Grafy!$Y$71:$Y$74</c:f>
              <c:numCache>
                <c:formatCode>0.000</c:formatCode>
                <c:ptCount val="4"/>
                <c:pt idx="0">
                  <c:v>3.869166001095437</c:v>
                </c:pt>
                <c:pt idx="1">
                  <c:v>31.425332999788221</c:v>
                </c:pt>
                <c:pt idx="2">
                  <c:v>71.692291996441782</c:v>
                </c:pt>
                <c:pt idx="3">
                  <c:v>242.15637499582951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B5-8145-B04B-805DB428CD66}"/>
            </c:ext>
          </c:extLst>
        </c:ser>
        <c:ser>
          <c:idx val="1"/>
          <c:order val="1"/>
          <c:tx>
            <c:v>BFS odhad</c:v>
          </c:tx>
          <c:spPr>
            <a:ln w="19000">
              <a:solidFill>
                <a:srgbClr val="2E75B6"/>
              </a:solidFill>
              <a:prstDash val="dash"/>
            </a:ln>
          </c:spPr>
          <c:marker>
            <c:symbol val="none"/>
          </c:marker>
          <c:xVal>
            <c:numRef>
              <c:f>Grafy!$X$71:$X$74</c:f>
              <c:numCache>
                <c:formatCode>#,##0</c:formatCode>
                <c:ptCount val="4"/>
                <c:pt idx="0">
                  <c:v>8836</c:v>
                </c:pt>
                <c:pt idx="1">
                  <c:v>67800</c:v>
                </c:pt>
                <c:pt idx="2">
                  <c:v>155109</c:v>
                </c:pt>
                <c:pt idx="3">
                  <c:v>480700</c:v>
                </c:pt>
              </c:numCache>
            </c:numRef>
          </c:xVal>
          <c:yVal>
            <c:numRef>
              <c:f>Grafy!$Z$71:$Z$74</c:f>
              <c:numCache>
                <c:formatCode>0.000</c:formatCode>
                <c:ptCount val="4"/>
                <c:pt idx="0">
                  <c:v>3.8691660010954374</c:v>
                </c:pt>
                <c:pt idx="1">
                  <c:v>29.688711506821033</c:v>
                </c:pt>
                <c:pt idx="2">
                  <c:v>67.920152700759644</c:v>
                </c:pt>
                <c:pt idx="3">
                  <c:v>210.49208881016031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B5-8145-B04B-805DB428CD66}"/>
            </c:ext>
          </c:extLst>
        </c:ser>
        <c:ser>
          <c:idx val="2"/>
          <c:order val="2"/>
          <c:tx>
            <c:v>DFS R skutočnosť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Grafy!$X$71:$X$74</c:f>
              <c:numCache>
                <c:formatCode>#,##0</c:formatCode>
                <c:ptCount val="4"/>
                <c:pt idx="0">
                  <c:v>8836</c:v>
                </c:pt>
                <c:pt idx="1">
                  <c:v>67800</c:v>
                </c:pt>
                <c:pt idx="2">
                  <c:v>155109</c:v>
                </c:pt>
                <c:pt idx="3">
                  <c:v>480700</c:v>
                </c:pt>
              </c:numCache>
            </c:numRef>
          </c:xVal>
          <c:yVal>
            <c:numRef>
              <c:f>Grafy!$AA$71:$AA$74</c:f>
              <c:numCache>
                <c:formatCode>0.000</c:formatCode>
                <c:ptCount val="4"/>
                <c:pt idx="0">
                  <c:v>4.4905000104336068</c:v>
                </c:pt>
                <c:pt idx="1">
                  <c:v>34.445541008608423</c:v>
                </c:pt>
                <c:pt idx="2">
                  <c:v>78.456540999468416</c:v>
                </c:pt>
                <c:pt idx="3">
                  <c:v>241.01008399156851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B5-8145-B04B-805DB428CD66}"/>
            </c:ext>
          </c:extLst>
        </c:ser>
        <c:ser>
          <c:idx val="3"/>
          <c:order val="3"/>
          <c:tx>
            <c:v>DFS R odhad</c:v>
          </c:tx>
          <c:spPr>
            <a:ln w="19000">
              <a:solidFill>
                <a:srgbClr val="C00000"/>
              </a:solidFill>
              <a:prstDash val="dash"/>
            </a:ln>
          </c:spPr>
          <c:marker>
            <c:symbol val="none"/>
          </c:marker>
          <c:xVal>
            <c:numRef>
              <c:f>Grafy!$X$71:$X$74</c:f>
              <c:numCache>
                <c:formatCode>#,##0</c:formatCode>
                <c:ptCount val="4"/>
                <c:pt idx="0">
                  <c:v>8836</c:v>
                </c:pt>
                <c:pt idx="1">
                  <c:v>67800</c:v>
                </c:pt>
                <c:pt idx="2">
                  <c:v>155109</c:v>
                </c:pt>
                <c:pt idx="3">
                  <c:v>480700</c:v>
                </c:pt>
              </c:numCache>
            </c:numRef>
          </c:xVal>
          <c:yVal>
            <c:numRef>
              <c:f>Grafy!$AB$71:$AB$74</c:f>
              <c:numCache>
                <c:formatCode>0.000</c:formatCode>
                <c:ptCount val="4"/>
                <c:pt idx="0">
                  <c:v>4.4905000104336068</c:v>
                </c:pt>
                <c:pt idx="1">
                  <c:v>34.456303837414957</c:v>
                </c:pt>
                <c:pt idx="2">
                  <c:v>78.827180411763962</c:v>
                </c:pt>
                <c:pt idx="3">
                  <c:v>244.29417779712932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B5-8145-B04B-805DB428CD66}"/>
            </c:ext>
          </c:extLst>
        </c:ser>
        <c:ser>
          <c:idx val="4"/>
          <c:order val="4"/>
          <c:tx>
            <c:v>DFS skutočnosť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548235"/>
              </a:solidFill>
              <a:ln>
                <a:solidFill>
                  <a:srgbClr val="548235"/>
                </a:solidFill>
                <a:prstDash val="solid"/>
              </a:ln>
            </c:spPr>
          </c:marker>
          <c:xVal>
            <c:numRef>
              <c:f>Grafy!$X$71:$X$74</c:f>
              <c:numCache>
                <c:formatCode>#,##0</c:formatCode>
                <c:ptCount val="4"/>
                <c:pt idx="0">
                  <c:v>8836</c:v>
                </c:pt>
                <c:pt idx="1">
                  <c:v>67800</c:v>
                </c:pt>
                <c:pt idx="2">
                  <c:v>155109</c:v>
                </c:pt>
                <c:pt idx="3">
                  <c:v>480700</c:v>
                </c:pt>
              </c:numCache>
            </c:numRef>
          </c:xVal>
          <c:yVal>
            <c:numRef>
              <c:f>Grafy!$AC$71:$AC$74</c:f>
              <c:numCache>
                <c:formatCode>0.000</c:formatCode>
                <c:ptCount val="4"/>
                <c:pt idx="0">
                  <c:v>3.7909999955445528</c:v>
                </c:pt>
                <c:pt idx="1">
                  <c:v>32.165625001653098</c:v>
                </c:pt>
                <c:pt idx="2">
                  <c:v>74.133416012045927</c:v>
                </c:pt>
                <c:pt idx="3">
                  <c:v>229.26999999617689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B5-8145-B04B-805DB428CD66}"/>
            </c:ext>
          </c:extLst>
        </c:ser>
        <c:ser>
          <c:idx val="5"/>
          <c:order val="5"/>
          <c:tx>
            <c:v>DFS odhad</c:v>
          </c:tx>
          <c:spPr>
            <a:ln w="19000">
              <a:solidFill>
                <a:srgbClr val="548235"/>
              </a:solidFill>
              <a:prstDash val="dash"/>
            </a:ln>
          </c:spPr>
          <c:marker>
            <c:symbol val="none"/>
          </c:marker>
          <c:xVal>
            <c:numRef>
              <c:f>Grafy!$X$71:$X$74</c:f>
              <c:numCache>
                <c:formatCode>#,##0</c:formatCode>
                <c:ptCount val="4"/>
                <c:pt idx="0">
                  <c:v>8836</c:v>
                </c:pt>
                <c:pt idx="1">
                  <c:v>67800</c:v>
                </c:pt>
                <c:pt idx="2">
                  <c:v>155109</c:v>
                </c:pt>
                <c:pt idx="3">
                  <c:v>480700</c:v>
                </c:pt>
              </c:numCache>
            </c:numRef>
          </c:xVal>
          <c:yVal>
            <c:numRef>
              <c:f>Grafy!$AD$71:$AD$74</c:f>
              <c:numCache>
                <c:formatCode>0.000</c:formatCode>
                <c:ptCount val="4"/>
                <c:pt idx="0">
                  <c:v>3.7909999955445528</c:v>
                </c:pt>
                <c:pt idx="1">
                  <c:v>29.088931609090164</c:v>
                </c:pt>
                <c:pt idx="2">
                  <c:v>66.548010220565871</c:v>
                </c:pt>
                <c:pt idx="3">
                  <c:v>206.23966702787081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B5-8145-B04B-805DB428C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počet prefarbených pixelov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čas (ms)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2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10</xdr:col>
      <xdr:colOff>0</xdr:colOff>
      <xdr:row>21</xdr:row>
      <xdr:rowOff>0</xdr:rowOff>
    </xdr:from>
    <xdr:ext cx="576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39</xdr:row>
      <xdr:rowOff>0</xdr:rowOff>
    </xdr:from>
    <xdr:ext cx="576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58</xdr:row>
      <xdr:rowOff>0</xdr:rowOff>
    </xdr:from>
    <xdr:ext cx="576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10</xdr:col>
      <xdr:colOff>0</xdr:colOff>
      <xdr:row>58</xdr:row>
      <xdr:rowOff>0</xdr:rowOff>
    </xdr:from>
    <xdr:ext cx="5760000" cy="324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77</xdr:row>
      <xdr:rowOff>0</xdr:rowOff>
    </xdr:from>
    <xdr:ext cx="9360000" cy="36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9"/>
  <sheetViews>
    <sheetView tabSelected="1" zoomScale="115" zoomScaleNormal="115" workbookViewId="0">
      <selection activeCell="P23" sqref="P23"/>
    </sheetView>
  </sheetViews>
  <sheetFormatPr baseColWidth="10" defaultColWidth="8.83203125" defaultRowHeight="15" x14ac:dyDescent="0.2"/>
  <cols>
    <col min="1" max="1" width="10.33203125" customWidth="1"/>
    <col min="2" max="2" width="10.83203125" customWidth="1"/>
    <col min="4" max="4" width="17.33203125" customWidth="1"/>
    <col min="5" max="5" width="14.83203125" customWidth="1"/>
    <col min="6" max="6" width="14.6640625" customWidth="1"/>
    <col min="7" max="7" width="18.5" customWidth="1"/>
    <col min="8" max="8" width="14.5" customWidth="1"/>
    <col min="9" max="9" width="15.6640625" customWidth="1"/>
    <col min="10" max="10" width="12.5" customWidth="1"/>
    <col min="12" max="12" width="11" customWidth="1"/>
    <col min="13" max="13" width="13.1640625" customWidth="1"/>
    <col min="14" max="14" width="16.1640625" customWidth="1"/>
  </cols>
  <sheetData>
    <row r="1" spans="2:14" x14ac:dyDescent="0.2">
      <c r="B1" s="8">
        <v>3.3219280900000001</v>
      </c>
    </row>
    <row r="4" spans="2:14" ht="15.75" customHeight="1" thickBot="1" x14ac:dyDescent="0.25"/>
    <row r="5" spans="2:14" ht="21.75" customHeight="1" thickBot="1" x14ac:dyDescent="0.3">
      <c r="E5" s="181" t="s">
        <v>0</v>
      </c>
      <c r="F5" s="182"/>
      <c r="G5" s="182"/>
      <c r="H5" s="182"/>
      <c r="I5" s="183"/>
      <c r="J5" s="181" t="s">
        <v>1</v>
      </c>
      <c r="K5" s="182"/>
      <c r="L5" s="182"/>
      <c r="M5" s="182"/>
      <c r="N5" s="183"/>
    </row>
    <row r="6" spans="2:14" ht="48" customHeight="1" thickBot="1" x14ac:dyDescent="0.25">
      <c r="D6" s="9" t="s">
        <v>2</v>
      </c>
      <c r="E6" s="54" t="s">
        <v>3</v>
      </c>
      <c r="F6" s="54" t="s">
        <v>4</v>
      </c>
      <c r="G6" s="54" t="s">
        <v>5</v>
      </c>
      <c r="H6" s="54" t="s">
        <v>6</v>
      </c>
      <c r="I6" s="10" t="s">
        <v>7</v>
      </c>
      <c r="J6" s="55" t="s">
        <v>3</v>
      </c>
      <c r="K6" s="54" t="s">
        <v>4</v>
      </c>
      <c r="L6" s="55" t="s">
        <v>5</v>
      </c>
      <c r="M6" s="54" t="s">
        <v>6</v>
      </c>
      <c r="N6" s="10" t="s">
        <v>7</v>
      </c>
    </row>
    <row r="7" spans="2:14" ht="17.5" customHeight="1" x14ac:dyDescent="0.2">
      <c r="B7" s="184">
        <v>10000000</v>
      </c>
      <c r="C7" s="29">
        <v>1</v>
      </c>
      <c r="D7" s="56">
        <v>11347895</v>
      </c>
      <c r="E7" s="57">
        <v>-1</v>
      </c>
      <c r="F7" s="58">
        <v>173.9456249924842</v>
      </c>
      <c r="G7" s="59">
        <v>10000000</v>
      </c>
      <c r="H7" s="204">
        <f>AVERAGE(F7:F16)</f>
        <v>126.77265400125179</v>
      </c>
      <c r="I7" s="201">
        <f>AVERAGE(G7:G16)</f>
        <v>8226390.5</v>
      </c>
      <c r="J7" s="60">
        <v>-1</v>
      </c>
      <c r="K7" s="61">
        <v>1.0458999895490709E-2</v>
      </c>
      <c r="L7" s="62">
        <v>46</v>
      </c>
      <c r="M7" s="202">
        <f>AVERAGE(K8:K16)</f>
        <v>4.7825564656199682E-3</v>
      </c>
      <c r="N7" s="195">
        <f>AVERAGE(L7:L16)</f>
        <v>46</v>
      </c>
    </row>
    <row r="8" spans="2:14" ht="17.5" customHeight="1" x14ac:dyDescent="0.2">
      <c r="B8" s="185"/>
      <c r="C8" s="30">
        <v>2</v>
      </c>
      <c r="D8" s="63">
        <v>5905886</v>
      </c>
      <c r="E8" s="64">
        <v>1312500</v>
      </c>
      <c r="F8" s="65">
        <v>21.57891700335313</v>
      </c>
      <c r="G8" s="66">
        <v>1312501</v>
      </c>
      <c r="H8" s="194"/>
      <c r="I8" s="185"/>
      <c r="J8" s="67">
        <v>1312500</v>
      </c>
      <c r="K8" s="68">
        <v>5.5419950513169169E-3</v>
      </c>
      <c r="L8" s="69">
        <v>47</v>
      </c>
      <c r="M8" s="192"/>
      <c r="N8" s="185"/>
    </row>
    <row r="9" spans="2:14" ht="17.5" customHeight="1" x14ac:dyDescent="0.2">
      <c r="B9" s="185"/>
      <c r="C9" s="31">
        <v>3</v>
      </c>
      <c r="D9" s="70">
        <v>44654751</v>
      </c>
      <c r="E9" s="64">
        <v>-1</v>
      </c>
      <c r="F9" s="71">
        <v>150.30629100510851</v>
      </c>
      <c r="G9" s="66">
        <v>10000000</v>
      </c>
      <c r="H9" s="194"/>
      <c r="I9" s="185"/>
      <c r="J9" s="67">
        <v>-1</v>
      </c>
      <c r="K9" s="72">
        <v>4.0419981814920902E-3</v>
      </c>
      <c r="L9" s="73">
        <v>46</v>
      </c>
      <c r="M9" s="192"/>
      <c r="N9" s="185"/>
    </row>
    <row r="10" spans="2:14" ht="17.5" customHeight="1" x14ac:dyDescent="0.2">
      <c r="B10" s="185"/>
      <c r="C10" s="31">
        <v>4</v>
      </c>
      <c r="D10" s="74">
        <v>41673337</v>
      </c>
      <c r="E10" s="75">
        <v>-1</v>
      </c>
      <c r="F10" s="76">
        <v>154.93754199997059</v>
      </c>
      <c r="G10" s="77">
        <v>10000000</v>
      </c>
      <c r="H10" s="194"/>
      <c r="I10" s="185"/>
      <c r="J10" s="67">
        <v>-1</v>
      </c>
      <c r="K10" s="72">
        <v>4.4590124161913991E-3</v>
      </c>
      <c r="L10" s="69">
        <v>46</v>
      </c>
      <c r="M10" s="192"/>
      <c r="N10" s="185"/>
    </row>
    <row r="11" spans="2:14" ht="17.5" customHeight="1" x14ac:dyDescent="0.2">
      <c r="B11" s="185"/>
      <c r="C11" s="31">
        <v>5</v>
      </c>
      <c r="D11" s="78">
        <v>30280813</v>
      </c>
      <c r="E11" s="64">
        <v>-1</v>
      </c>
      <c r="F11" s="71">
        <v>153.66529099992479</v>
      </c>
      <c r="G11" s="66">
        <v>10000000</v>
      </c>
      <c r="H11" s="194"/>
      <c r="I11" s="185"/>
      <c r="J11" s="79">
        <v>-1</v>
      </c>
      <c r="K11" s="80">
        <v>5.3340045269578704E-3</v>
      </c>
      <c r="L11" s="81">
        <v>46</v>
      </c>
      <c r="M11" s="192"/>
      <c r="N11" s="185"/>
    </row>
    <row r="12" spans="2:14" ht="17.5" customHeight="1" x14ac:dyDescent="0.2">
      <c r="B12" s="186"/>
      <c r="C12" s="31">
        <v>6</v>
      </c>
      <c r="D12" s="70">
        <v>22463098</v>
      </c>
      <c r="E12" s="64">
        <v>-1</v>
      </c>
      <c r="F12" s="71">
        <v>149.82308300386649</v>
      </c>
      <c r="G12" s="66">
        <v>10000000</v>
      </c>
      <c r="H12" s="194"/>
      <c r="I12" s="185"/>
      <c r="J12" s="67">
        <v>-1</v>
      </c>
      <c r="K12" s="72">
        <v>5.0829985411837697E-3</v>
      </c>
      <c r="L12" s="69">
        <v>46</v>
      </c>
      <c r="M12" s="192"/>
      <c r="N12" s="185"/>
    </row>
    <row r="13" spans="2:14" ht="17.5" customHeight="1" x14ac:dyDescent="0.2">
      <c r="B13" s="196" t="s">
        <v>8</v>
      </c>
      <c r="C13" s="31">
        <v>7</v>
      </c>
      <c r="D13" s="70">
        <v>16693615</v>
      </c>
      <c r="E13" s="64">
        <v>-1</v>
      </c>
      <c r="F13" s="71">
        <v>148.8885840080911</v>
      </c>
      <c r="G13" s="66">
        <v>10000000</v>
      </c>
      <c r="H13" s="194"/>
      <c r="I13" s="185"/>
      <c r="J13" s="67">
        <v>-1</v>
      </c>
      <c r="K13" s="82">
        <v>5.1250099204480648E-3</v>
      </c>
      <c r="L13" s="83">
        <v>46</v>
      </c>
      <c r="M13" s="192"/>
      <c r="N13" s="185"/>
    </row>
    <row r="14" spans="2:14" ht="17.5" customHeight="1" x14ac:dyDescent="0.2">
      <c r="B14" s="185"/>
      <c r="C14" s="30">
        <v>8</v>
      </c>
      <c r="D14" s="63">
        <v>4282109</v>
      </c>
      <c r="E14" s="64">
        <v>951403</v>
      </c>
      <c r="F14" s="71">
        <v>14.06079099979252</v>
      </c>
      <c r="G14" s="66">
        <v>951404</v>
      </c>
      <c r="H14" s="194"/>
      <c r="I14" s="185"/>
      <c r="J14" s="67">
        <v>951403</v>
      </c>
      <c r="K14" s="84">
        <v>5.1249953685328356E-3</v>
      </c>
      <c r="L14" s="69">
        <v>45</v>
      </c>
      <c r="M14" s="192"/>
      <c r="N14" s="185"/>
    </row>
    <row r="15" spans="2:14" ht="17.5" customHeight="1" x14ac:dyDescent="0.2">
      <c r="B15" s="185"/>
      <c r="C15" s="31">
        <v>9</v>
      </c>
      <c r="D15" s="70">
        <v>12508030</v>
      </c>
      <c r="E15" s="64">
        <v>-1</v>
      </c>
      <c r="F15" s="71">
        <v>149.67025000078141</v>
      </c>
      <c r="G15" s="66">
        <v>10000000</v>
      </c>
      <c r="H15" s="194"/>
      <c r="I15" s="185"/>
      <c r="J15" s="67">
        <v>-1</v>
      </c>
      <c r="K15" s="72">
        <v>4.0000013541430226E-3</v>
      </c>
      <c r="L15" s="69">
        <v>46</v>
      </c>
      <c r="M15" s="192"/>
      <c r="N15" s="185"/>
    </row>
    <row r="16" spans="2:14" ht="17.5" customHeight="1" thickBot="1" x14ac:dyDescent="0.25">
      <c r="B16" s="186"/>
      <c r="C16" s="32">
        <v>10</v>
      </c>
      <c r="D16" s="85">
        <v>29207716</v>
      </c>
      <c r="E16" s="86">
        <v>-1</v>
      </c>
      <c r="F16" s="87">
        <v>150.85016599914519</v>
      </c>
      <c r="G16" s="88">
        <v>10000000</v>
      </c>
      <c r="H16" s="205"/>
      <c r="I16" s="180"/>
      <c r="J16" s="89">
        <v>-1</v>
      </c>
      <c r="K16" s="82">
        <v>4.3329928303137422E-3</v>
      </c>
      <c r="L16" s="83">
        <v>46</v>
      </c>
      <c r="M16" s="203"/>
      <c r="N16" s="180"/>
    </row>
    <row r="17" spans="2:14" ht="17.5" customHeight="1" x14ac:dyDescent="0.2">
      <c r="B17" s="184">
        <v>100000000</v>
      </c>
      <c r="C17" s="33">
        <v>1</v>
      </c>
      <c r="D17" s="90">
        <v>124133730</v>
      </c>
      <c r="E17" s="57">
        <v>-1</v>
      </c>
      <c r="F17" s="91">
        <v>2191.3961249956628</v>
      </c>
      <c r="G17" s="92">
        <v>100000000</v>
      </c>
      <c r="H17" s="197" t="s">
        <v>9</v>
      </c>
      <c r="I17" s="197" t="s">
        <v>9</v>
      </c>
      <c r="J17" s="93">
        <v>-1</v>
      </c>
      <c r="K17" s="94">
        <v>2.6041001547127959E-2</v>
      </c>
      <c r="L17" s="95">
        <v>54</v>
      </c>
      <c r="M17" s="197" t="s">
        <v>9</v>
      </c>
      <c r="N17" s="197" t="s">
        <v>9</v>
      </c>
    </row>
    <row r="18" spans="2:14" ht="17.5" customHeight="1" thickBot="1" x14ac:dyDescent="0.25">
      <c r="B18" s="185"/>
      <c r="C18" s="30">
        <v>2</v>
      </c>
      <c r="D18" s="67">
        <v>417723502</v>
      </c>
      <c r="E18" s="64">
        <v>-1</v>
      </c>
      <c r="F18" s="96">
        <v>2364.664458000334</v>
      </c>
      <c r="G18" s="97">
        <v>100000000</v>
      </c>
      <c r="H18" s="186"/>
      <c r="I18" s="186"/>
      <c r="J18" s="78">
        <v>-1</v>
      </c>
      <c r="K18" s="72">
        <v>2.3582993890158829E-2</v>
      </c>
      <c r="L18" s="69">
        <v>54</v>
      </c>
      <c r="M18" s="186"/>
      <c r="N18" s="186"/>
    </row>
    <row r="19" spans="2:14" ht="17.5" customHeight="1" x14ac:dyDescent="0.2">
      <c r="B19" s="185"/>
      <c r="C19" s="30">
        <v>3</v>
      </c>
      <c r="D19" s="67">
        <v>21204324</v>
      </c>
      <c r="E19" s="64">
        <v>-1</v>
      </c>
      <c r="F19" s="96">
        <v>2332.744042010745</v>
      </c>
      <c r="G19" s="97">
        <v>100000000</v>
      </c>
      <c r="H19" s="191">
        <f>H7*$B$17/$B$7</f>
        <v>1267.7265400125179</v>
      </c>
      <c r="I19" s="193">
        <f>I7*$B$17/$B$7</f>
        <v>82263905</v>
      </c>
      <c r="J19" s="78">
        <v>-1</v>
      </c>
      <c r="K19" s="72">
        <v>6.0832986491732299E-2</v>
      </c>
      <c r="L19" s="69">
        <v>54</v>
      </c>
      <c r="M19" s="200">
        <f>M7*LOG($B$17,2)/LOG($B$7,2)</f>
        <v>5.4657788178513918E-3</v>
      </c>
      <c r="N19" s="187">
        <f>N7*LOG($B$17,2)/LOG($B$7,2)</f>
        <v>52.571428571428569</v>
      </c>
    </row>
    <row r="20" spans="2:14" ht="17.5" customHeight="1" x14ac:dyDescent="0.2">
      <c r="B20" s="185"/>
      <c r="C20" s="30">
        <v>4</v>
      </c>
      <c r="D20" s="67">
        <v>165561570</v>
      </c>
      <c r="E20" s="64">
        <v>-1</v>
      </c>
      <c r="F20" s="96">
        <v>2138.3825829980201</v>
      </c>
      <c r="G20" s="97">
        <v>100000000</v>
      </c>
      <c r="H20" s="192"/>
      <c r="I20" s="194"/>
      <c r="J20" s="78">
        <v>-1</v>
      </c>
      <c r="K20" s="72">
        <v>1.812500704545528E-2</v>
      </c>
      <c r="L20" s="69">
        <v>54</v>
      </c>
      <c r="M20" s="189"/>
      <c r="N20" s="185"/>
    </row>
    <row r="21" spans="2:14" ht="17.5" customHeight="1" thickBot="1" x14ac:dyDescent="0.25">
      <c r="B21" s="185"/>
      <c r="C21" s="30">
        <v>5</v>
      </c>
      <c r="D21" s="67">
        <v>151908981</v>
      </c>
      <c r="E21" s="64">
        <v>-1</v>
      </c>
      <c r="F21" s="96">
        <v>2149.7798339987639</v>
      </c>
      <c r="G21" s="97">
        <v>100000000</v>
      </c>
      <c r="H21" s="192"/>
      <c r="I21" s="194"/>
      <c r="J21" s="78">
        <v>-1</v>
      </c>
      <c r="K21" s="72">
        <v>3.7416990380734212E-2</v>
      </c>
      <c r="L21" s="69">
        <v>54</v>
      </c>
      <c r="M21" s="189"/>
      <c r="N21" s="185"/>
    </row>
    <row r="22" spans="2:14" ht="17.5" customHeight="1" x14ac:dyDescent="0.2">
      <c r="B22" s="186"/>
      <c r="C22" s="30">
        <v>6</v>
      </c>
      <c r="D22" s="67">
        <v>30651686</v>
      </c>
      <c r="E22" s="64">
        <v>-1</v>
      </c>
      <c r="F22" s="96">
        <v>2123.2569999992852</v>
      </c>
      <c r="G22" s="97">
        <v>100000000</v>
      </c>
      <c r="H22" s="179" t="s">
        <v>10</v>
      </c>
      <c r="I22" s="179" t="s">
        <v>11</v>
      </c>
      <c r="J22" s="78">
        <v>-1</v>
      </c>
      <c r="K22" s="72">
        <v>4.5541994040831917E-2</v>
      </c>
      <c r="L22" s="69">
        <v>52</v>
      </c>
      <c r="M22" s="179" t="s">
        <v>10</v>
      </c>
      <c r="N22" s="179" t="s">
        <v>11</v>
      </c>
    </row>
    <row r="23" spans="2:14" ht="17.5" customHeight="1" thickBot="1" x14ac:dyDescent="0.25">
      <c r="B23" s="196" t="s">
        <v>12</v>
      </c>
      <c r="C23" s="30">
        <v>7</v>
      </c>
      <c r="D23" s="67">
        <v>218361686</v>
      </c>
      <c r="E23" s="64">
        <v>-1</v>
      </c>
      <c r="F23" s="96">
        <v>2241.0368330019992</v>
      </c>
      <c r="G23" s="97">
        <v>100000000</v>
      </c>
      <c r="H23" s="180"/>
      <c r="I23" s="180"/>
      <c r="J23" s="78">
        <v>-1</v>
      </c>
      <c r="K23" s="72">
        <v>2.066700835712254E-2</v>
      </c>
      <c r="L23" s="69">
        <v>54</v>
      </c>
      <c r="M23" s="180"/>
      <c r="N23" s="180"/>
    </row>
    <row r="24" spans="2:14" ht="17.5" customHeight="1" x14ac:dyDescent="0.2">
      <c r="B24" s="185"/>
      <c r="C24" s="30">
        <v>8</v>
      </c>
      <c r="D24" s="67">
        <v>374497767</v>
      </c>
      <c r="E24" s="64">
        <v>-1</v>
      </c>
      <c r="F24" s="96">
        <v>2175.4324579960671</v>
      </c>
      <c r="G24" s="97">
        <v>100000000</v>
      </c>
      <c r="H24" s="198">
        <f>AVERAGE(F17:F26)</f>
        <v>2130.6141083012335</v>
      </c>
      <c r="I24" s="206">
        <f>AVERAGE(G17:G26)</f>
        <v>96884327.599999994</v>
      </c>
      <c r="J24" s="78">
        <v>-1</v>
      </c>
      <c r="K24" s="72">
        <v>5.529199552256614E-2</v>
      </c>
      <c r="L24" s="69">
        <v>52</v>
      </c>
      <c r="M24" s="188">
        <f>AVERAGE(K17:K26)</f>
        <v>3.576249728212133E-2</v>
      </c>
      <c r="N24" s="199">
        <f>AVERAGE(L17:L26)</f>
        <v>53.1</v>
      </c>
    </row>
    <row r="25" spans="2:14" ht="17.5" customHeight="1" x14ac:dyDescent="0.2">
      <c r="B25" s="185"/>
      <c r="C25" s="30">
        <v>9</v>
      </c>
      <c r="D25" s="67">
        <v>266476667</v>
      </c>
      <c r="E25" s="64">
        <v>-1</v>
      </c>
      <c r="F25" s="96">
        <v>2131.9186250038911</v>
      </c>
      <c r="G25" s="97">
        <v>100000000</v>
      </c>
      <c r="H25" s="189"/>
      <c r="I25" s="194"/>
      <c r="J25" s="78">
        <v>-1</v>
      </c>
      <c r="K25" s="72">
        <v>3.0082999728620049E-2</v>
      </c>
      <c r="L25" s="69">
        <v>54</v>
      </c>
      <c r="M25" s="189"/>
      <c r="N25" s="185"/>
    </row>
    <row r="26" spans="2:14" ht="17.5" customHeight="1" thickBot="1" x14ac:dyDescent="0.25">
      <c r="B26" s="186"/>
      <c r="C26" s="34">
        <v>10</v>
      </c>
      <c r="D26" s="98">
        <v>309818306</v>
      </c>
      <c r="E26" s="86">
        <v>68843275</v>
      </c>
      <c r="F26" s="99">
        <v>1457.5291250075679</v>
      </c>
      <c r="G26" s="88">
        <v>68843276</v>
      </c>
      <c r="H26" s="190"/>
      <c r="I26" s="205"/>
      <c r="J26" s="98">
        <v>68843275</v>
      </c>
      <c r="K26" s="100">
        <v>4.0041995816864073E-2</v>
      </c>
      <c r="L26" s="101">
        <v>49</v>
      </c>
      <c r="M26" s="190"/>
      <c r="N26" s="180"/>
    </row>
    <row r="28" spans="2:14" x14ac:dyDescent="0.2">
      <c r="D28" s="102" t="s">
        <v>13</v>
      </c>
    </row>
    <row r="29" spans="2:14" ht="16" x14ac:dyDescent="0.2">
      <c r="D29" s="103"/>
      <c r="H29" s="104" t="s">
        <v>14</v>
      </c>
      <c r="I29" s="104" t="s">
        <v>15</v>
      </c>
      <c r="M29" s="104" t="s">
        <v>16</v>
      </c>
      <c r="N29" s="104" t="s">
        <v>17</v>
      </c>
    </row>
    <row r="30" spans="2:14" ht="16" x14ac:dyDescent="0.2">
      <c r="D30" s="105" t="s">
        <v>18</v>
      </c>
      <c r="H30" s="106">
        <f>H19/H24</f>
        <v>0.59500523115529957</v>
      </c>
      <c r="I30" s="106">
        <f>I19/I24</f>
        <v>0.84909403861104993</v>
      </c>
      <c r="M30" s="106">
        <f>M19/M24</f>
        <v>0.15283549061837712</v>
      </c>
      <c r="N30" s="106">
        <f>N19/N24</f>
        <v>0.99004573580844757</v>
      </c>
    </row>
    <row r="31" spans="2:14" x14ac:dyDescent="0.2">
      <c r="D31" s="107" t="s">
        <v>19</v>
      </c>
    </row>
    <row r="33" spans="4:7" ht="32" x14ac:dyDescent="0.2">
      <c r="D33" s="104" t="s">
        <v>20</v>
      </c>
      <c r="E33" s="104" t="s">
        <v>21</v>
      </c>
      <c r="F33" s="104" t="s">
        <v>22</v>
      </c>
      <c r="G33" s="104" t="s">
        <v>23</v>
      </c>
    </row>
    <row r="34" spans="4:7" ht="16" x14ac:dyDescent="0.2">
      <c r="D34" s="108" t="s">
        <v>24</v>
      </c>
      <c r="E34" s="109">
        <f>COUNTIF(E7:E16,"&gt;=0")</f>
        <v>2</v>
      </c>
      <c r="F34" s="109">
        <f>COUNTIF(E7:E16,"&lt;0")</f>
        <v>8</v>
      </c>
      <c r="G34" s="110" t="s">
        <v>25</v>
      </c>
    </row>
    <row r="35" spans="4:7" ht="16" x14ac:dyDescent="0.2">
      <c r="D35" s="108" t="s">
        <v>26</v>
      </c>
      <c r="E35" s="109">
        <f>COUNTIF(E17:E26,"&gt;=0")</f>
        <v>1</v>
      </c>
      <c r="F35" s="109">
        <f>COUNTIF(E17:E26,"&lt;0")</f>
        <v>9</v>
      </c>
      <c r="G35" s="110" t="s">
        <v>27</v>
      </c>
    </row>
    <row r="36" spans="4:7" x14ac:dyDescent="0.2">
      <c r="D36" s="107" t="s">
        <v>28</v>
      </c>
    </row>
    <row r="38" spans="4:7" x14ac:dyDescent="0.2">
      <c r="D38" s="111"/>
      <c r="E38" s="107" t="s">
        <v>29</v>
      </c>
    </row>
    <row r="39" spans="4:7" x14ac:dyDescent="0.2">
      <c r="D39" s="107" t="s">
        <v>30</v>
      </c>
    </row>
  </sheetData>
  <mergeCells count="26">
    <mergeCell ref="B13:B16"/>
    <mergeCell ref="M17:M18"/>
    <mergeCell ref="M7:M16"/>
    <mergeCell ref="H7:H16"/>
    <mergeCell ref="I24:I26"/>
    <mergeCell ref="H24:H26"/>
    <mergeCell ref="N24:N26"/>
    <mergeCell ref="M19:M21"/>
    <mergeCell ref="I17:I18"/>
    <mergeCell ref="I7:I16"/>
    <mergeCell ref="N22:N23"/>
    <mergeCell ref="J5:N5"/>
    <mergeCell ref="B7:B12"/>
    <mergeCell ref="N19:N21"/>
    <mergeCell ref="M24:M26"/>
    <mergeCell ref="E5:I5"/>
    <mergeCell ref="H19:H21"/>
    <mergeCell ref="I19:I21"/>
    <mergeCell ref="I22:I23"/>
    <mergeCell ref="N7:N16"/>
    <mergeCell ref="M22:M23"/>
    <mergeCell ref="B23:B26"/>
    <mergeCell ref="H17:H18"/>
    <mergeCell ref="N17:N18"/>
    <mergeCell ref="B17:B22"/>
    <mergeCell ref="H22:H2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60"/>
  <sheetViews>
    <sheetView zoomScale="87" zoomScaleNormal="87" workbookViewId="0">
      <selection activeCell="D5" sqref="D5"/>
    </sheetView>
  </sheetViews>
  <sheetFormatPr baseColWidth="10" defaultColWidth="8.83203125" defaultRowHeight="15" x14ac:dyDescent="0.2"/>
  <cols>
    <col min="1" max="1" width="12.33203125" customWidth="1"/>
    <col min="2" max="2" width="36.83203125" customWidth="1"/>
    <col min="3" max="3" width="12.5" customWidth="1"/>
    <col min="4" max="4" width="10.33203125" customWidth="1"/>
    <col min="5" max="9" width="10.5" customWidth="1"/>
    <col min="10" max="24" width="13" customWidth="1"/>
  </cols>
  <sheetData>
    <row r="2" spans="2:24" ht="15.75" customHeight="1" thickBot="1" x14ac:dyDescent="0.25"/>
    <row r="3" spans="2:24" ht="27" customHeight="1" thickBot="1" x14ac:dyDescent="0.35">
      <c r="D3" s="209" t="s">
        <v>31</v>
      </c>
      <c r="E3" s="208"/>
      <c r="F3" s="207">
        <v>10000</v>
      </c>
      <c r="G3" s="208"/>
      <c r="H3" s="210" t="s">
        <v>32</v>
      </c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8"/>
      <c r="T3" s="208"/>
      <c r="U3" s="211"/>
    </row>
    <row r="4" spans="2:24" ht="24.75" customHeight="1" thickBot="1" x14ac:dyDescent="0.35">
      <c r="D4" s="212" t="s">
        <v>33</v>
      </c>
      <c r="E4" s="208"/>
      <c r="F4" s="208"/>
      <c r="G4" s="208"/>
      <c r="H4" s="208"/>
      <c r="I4" s="211"/>
      <c r="J4" s="212" t="s">
        <v>34</v>
      </c>
      <c r="K4" s="208"/>
      <c r="L4" s="208"/>
      <c r="M4" s="208"/>
      <c r="N4" s="208"/>
      <c r="O4" s="211"/>
      <c r="P4" s="212" t="s">
        <v>35</v>
      </c>
      <c r="Q4" s="208"/>
      <c r="R4" s="208"/>
      <c r="S4" s="208"/>
      <c r="T4" s="208"/>
      <c r="U4" s="211"/>
    </row>
    <row r="5" spans="2:24" ht="35.5" customHeight="1" thickBot="1" x14ac:dyDescent="0.25">
      <c r="B5" s="14" t="s">
        <v>36</v>
      </c>
      <c r="C5" s="11" t="s">
        <v>37</v>
      </c>
      <c r="D5" s="15">
        <v>1</v>
      </c>
      <c r="E5" s="16">
        <v>2</v>
      </c>
      <c r="F5" s="16">
        <v>3</v>
      </c>
      <c r="G5" s="16">
        <v>4</v>
      </c>
      <c r="H5" s="16">
        <v>5</v>
      </c>
      <c r="I5" s="17" t="s">
        <v>38</v>
      </c>
      <c r="J5" s="15">
        <v>1</v>
      </c>
      <c r="K5" s="16">
        <v>2</v>
      </c>
      <c r="L5" s="16">
        <v>3</v>
      </c>
      <c r="M5" s="16">
        <v>4</v>
      </c>
      <c r="N5" s="16">
        <v>5</v>
      </c>
      <c r="O5" s="17" t="s">
        <v>38</v>
      </c>
      <c r="P5" s="15">
        <v>1</v>
      </c>
      <c r="Q5" s="16">
        <v>2</v>
      </c>
      <c r="R5" s="16">
        <v>3</v>
      </c>
      <c r="S5" s="16">
        <v>4</v>
      </c>
      <c r="T5" s="16">
        <v>5</v>
      </c>
      <c r="U5" s="17" t="s">
        <v>38</v>
      </c>
    </row>
    <row r="6" spans="2:24" ht="21" customHeight="1" x14ac:dyDescent="0.25">
      <c r="B6" s="18" t="s">
        <v>39</v>
      </c>
      <c r="C6" s="19" t="s">
        <v>40</v>
      </c>
      <c r="D6" s="112">
        <v>1714.7421670088081</v>
      </c>
      <c r="E6" s="113">
        <v>1756.1309590091701</v>
      </c>
      <c r="F6" s="113">
        <v>1733.8341249997029</v>
      </c>
      <c r="G6" s="113">
        <v>1713.1999999983241</v>
      </c>
      <c r="H6" s="113">
        <v>1730.6537090044001</v>
      </c>
      <c r="I6" s="114">
        <f>AVERAGE(D6:H6)</f>
        <v>1729.7121920040813</v>
      </c>
      <c r="J6" s="115">
        <v>49995000</v>
      </c>
      <c r="K6" s="60">
        <v>49995000</v>
      </c>
      <c r="L6" s="60">
        <v>49995000</v>
      </c>
      <c r="M6" s="60">
        <v>49995000</v>
      </c>
      <c r="N6" s="60">
        <v>49995000</v>
      </c>
      <c r="O6" s="92">
        <f>AVERAGE(J6:N6)</f>
        <v>49995000</v>
      </c>
      <c r="P6" s="115">
        <v>50256346</v>
      </c>
      <c r="Q6" s="60">
        <v>50145870</v>
      </c>
      <c r="R6" s="60">
        <v>49952448</v>
      </c>
      <c r="S6" s="60">
        <v>49555054</v>
      </c>
      <c r="T6" s="60">
        <v>50039874</v>
      </c>
      <c r="U6" s="92">
        <f>AVERAGE(P6:T6)</f>
        <v>49989918.399999999</v>
      </c>
    </row>
    <row r="7" spans="2:24" ht="21" customHeight="1" x14ac:dyDescent="0.25">
      <c r="B7" s="20" t="s">
        <v>41</v>
      </c>
      <c r="C7" s="13"/>
      <c r="D7" s="2"/>
      <c r="E7" s="5"/>
      <c r="F7" s="5"/>
      <c r="G7" s="5"/>
      <c r="H7" s="5"/>
      <c r="I7" s="4"/>
      <c r="J7" s="2"/>
      <c r="K7" s="5"/>
      <c r="L7" s="5"/>
      <c r="M7" s="5"/>
      <c r="N7" s="5"/>
      <c r="O7" s="4"/>
      <c r="P7" s="2"/>
      <c r="Q7" s="5"/>
      <c r="R7" s="5"/>
      <c r="S7" s="5"/>
      <c r="T7" s="5"/>
      <c r="U7" s="4"/>
    </row>
    <row r="8" spans="2:24" ht="21" customHeight="1" x14ac:dyDescent="0.25">
      <c r="B8" s="20" t="s">
        <v>42</v>
      </c>
      <c r="C8" s="13"/>
      <c r="D8" s="2"/>
      <c r="E8" s="2"/>
      <c r="F8" s="2"/>
      <c r="G8" s="2"/>
      <c r="H8" s="2"/>
      <c r="I8" s="4"/>
      <c r="J8" s="2"/>
      <c r="K8" s="2"/>
      <c r="L8" s="2"/>
      <c r="M8" s="2"/>
      <c r="N8" s="2"/>
      <c r="O8" s="4"/>
      <c r="P8" s="2"/>
      <c r="Q8" s="2"/>
      <c r="R8" s="2"/>
      <c r="S8" s="2"/>
      <c r="T8" s="2"/>
      <c r="U8" s="4"/>
    </row>
    <row r="9" spans="2:24" ht="21" customHeight="1" x14ac:dyDescent="0.25">
      <c r="B9" s="20" t="s">
        <v>43</v>
      </c>
      <c r="C9" s="13"/>
      <c r="D9" s="2"/>
      <c r="E9" s="2"/>
      <c r="F9" s="2"/>
      <c r="G9" s="2"/>
      <c r="H9" s="2"/>
      <c r="I9" s="4"/>
      <c r="J9" s="2"/>
      <c r="K9" s="2"/>
      <c r="L9" s="2"/>
      <c r="M9" s="2"/>
      <c r="N9" s="2"/>
      <c r="O9" s="4"/>
      <c r="P9" s="2"/>
      <c r="Q9" s="2"/>
      <c r="R9" s="2"/>
      <c r="S9" s="2"/>
      <c r="T9" s="2"/>
      <c r="U9" s="4"/>
    </row>
    <row r="10" spans="2:24" ht="21" customHeight="1" x14ac:dyDescent="0.25">
      <c r="B10" s="20" t="s">
        <v>44</v>
      </c>
      <c r="C10" s="13" t="s">
        <v>45</v>
      </c>
      <c r="D10" s="116">
        <v>6.1050410004099831</v>
      </c>
      <c r="E10" s="116">
        <v>6.1857079999754214</v>
      </c>
      <c r="F10" s="116">
        <v>5.8548750093905264</v>
      </c>
      <c r="G10" s="116">
        <v>6.3015839987201616</v>
      </c>
      <c r="H10" s="116">
        <v>5.9906669921474531</v>
      </c>
      <c r="I10" s="117">
        <f>AVERAGE(D10:H10)</f>
        <v>6.0875750001287088</v>
      </c>
      <c r="J10" s="67">
        <v>241397</v>
      </c>
      <c r="K10" s="67">
        <v>244551</v>
      </c>
      <c r="L10" s="67">
        <v>224542</v>
      </c>
      <c r="M10" s="67">
        <v>269824</v>
      </c>
      <c r="N10" s="67">
        <v>242310</v>
      </c>
      <c r="O10" s="97">
        <f>AVERAGE(J10:N10)</f>
        <v>244524.79999999999</v>
      </c>
      <c r="P10" s="67">
        <v>327464</v>
      </c>
      <c r="Q10" s="67">
        <v>315606</v>
      </c>
      <c r="R10" s="67">
        <v>307178</v>
      </c>
      <c r="S10" s="67">
        <v>336722</v>
      </c>
      <c r="T10" s="67">
        <v>321360</v>
      </c>
      <c r="U10" s="97">
        <f>AVERAGE(P10:T10)</f>
        <v>321666</v>
      </c>
    </row>
    <row r="11" spans="2:24" ht="21" customHeight="1" x14ac:dyDescent="0.25">
      <c r="B11" s="35" t="s">
        <v>46</v>
      </c>
      <c r="C11" s="36"/>
      <c r="D11" s="5"/>
      <c r="E11" s="5"/>
      <c r="F11" s="5"/>
      <c r="G11" s="5"/>
      <c r="H11" s="5"/>
      <c r="I11" s="7"/>
      <c r="J11" s="5"/>
      <c r="K11" s="5"/>
      <c r="L11" s="5"/>
      <c r="M11" s="5"/>
      <c r="N11" s="5"/>
      <c r="O11" s="7"/>
      <c r="P11" s="5"/>
      <c r="Q11" s="5"/>
      <c r="R11" s="5"/>
      <c r="S11" s="5"/>
      <c r="T11" s="5"/>
      <c r="U11" s="7"/>
    </row>
    <row r="12" spans="2:24" ht="21.75" customHeight="1" thickBot="1" x14ac:dyDescent="0.3">
      <c r="B12" s="21" t="s">
        <v>47</v>
      </c>
      <c r="C12" s="22" t="s">
        <v>48</v>
      </c>
      <c r="D12" s="118">
        <v>3.7018750008428469</v>
      </c>
      <c r="E12" s="118">
        <v>3.8364999927580361</v>
      </c>
      <c r="F12" s="118">
        <v>3.854457987472415</v>
      </c>
      <c r="G12" s="118">
        <v>3.7909999955445528</v>
      </c>
      <c r="H12" s="118">
        <v>3.9133749960456039</v>
      </c>
      <c r="I12" s="119">
        <f>AVERAGE(D12:H12)</f>
        <v>3.8194415945326909</v>
      </c>
      <c r="J12" s="120">
        <v>10005</v>
      </c>
      <c r="K12" s="120">
        <v>10005</v>
      </c>
      <c r="L12" s="120">
        <v>10005</v>
      </c>
      <c r="M12" s="120">
        <v>10005</v>
      </c>
      <c r="N12" s="120">
        <v>10005</v>
      </c>
      <c r="O12" s="88">
        <f>AVERAGE(J12:N12)</f>
        <v>10005</v>
      </c>
      <c r="P12" s="120">
        <v>50000</v>
      </c>
      <c r="Q12" s="120">
        <v>50000</v>
      </c>
      <c r="R12" s="120">
        <v>50000</v>
      </c>
      <c r="S12" s="120">
        <v>50000</v>
      </c>
      <c r="T12" s="120">
        <v>50000</v>
      </c>
      <c r="U12" s="88">
        <f>AVERAGE(P12:T12)</f>
        <v>50000</v>
      </c>
    </row>
    <row r="14" spans="2:24" ht="15.75" customHeight="1" thickBot="1" x14ac:dyDescent="0.25"/>
    <row r="15" spans="2:24" ht="27" customHeight="1" thickBot="1" x14ac:dyDescent="0.35">
      <c r="D15" s="209" t="s">
        <v>31</v>
      </c>
      <c r="E15" s="208"/>
      <c r="F15" s="207">
        <v>20000</v>
      </c>
      <c r="G15" s="208"/>
      <c r="H15" s="210" t="s">
        <v>32</v>
      </c>
      <c r="I15" s="208"/>
      <c r="J15" s="208"/>
      <c r="K15" s="208"/>
      <c r="L15" s="208"/>
      <c r="M15" s="208"/>
      <c r="N15" s="208"/>
      <c r="O15" s="208"/>
      <c r="P15" s="208"/>
      <c r="Q15" s="208"/>
      <c r="R15" s="208"/>
      <c r="S15" s="208"/>
      <c r="T15" s="208"/>
      <c r="U15" s="208"/>
      <c r="V15" s="208"/>
      <c r="W15" s="208"/>
      <c r="X15" s="211"/>
    </row>
    <row r="16" spans="2:24" ht="24" customHeight="1" thickBot="1" x14ac:dyDescent="0.35">
      <c r="D16" s="212" t="s">
        <v>33</v>
      </c>
      <c r="E16" s="208"/>
      <c r="F16" s="208"/>
      <c r="G16" s="208"/>
      <c r="H16" s="208"/>
      <c r="I16" s="208"/>
      <c r="J16" s="211"/>
      <c r="K16" s="212" t="s">
        <v>34</v>
      </c>
      <c r="L16" s="208"/>
      <c r="M16" s="208"/>
      <c r="N16" s="208"/>
      <c r="O16" s="208"/>
      <c r="P16" s="208"/>
      <c r="Q16" s="211"/>
      <c r="R16" s="212" t="s">
        <v>35</v>
      </c>
      <c r="S16" s="208"/>
      <c r="T16" s="208"/>
      <c r="U16" s="208"/>
      <c r="V16" s="208"/>
      <c r="W16" s="208"/>
      <c r="X16" s="211"/>
    </row>
    <row r="17" spans="2:24" ht="32.25" customHeight="1" thickBot="1" x14ac:dyDescent="0.25">
      <c r="B17" s="14" t="s">
        <v>36</v>
      </c>
      <c r="C17" s="11" t="s">
        <v>37</v>
      </c>
      <c r="D17" s="25" t="s">
        <v>49</v>
      </c>
      <c r="E17" s="26">
        <v>1</v>
      </c>
      <c r="F17" s="26">
        <v>2</v>
      </c>
      <c r="G17" s="26">
        <v>3</v>
      </c>
      <c r="H17" s="26">
        <v>4</v>
      </c>
      <c r="I17" s="26">
        <v>5</v>
      </c>
      <c r="J17" s="27" t="s">
        <v>38</v>
      </c>
      <c r="K17" s="25" t="s">
        <v>49</v>
      </c>
      <c r="L17" s="26">
        <v>1</v>
      </c>
      <c r="M17" s="26">
        <v>2</v>
      </c>
      <c r="N17" s="26">
        <v>3</v>
      </c>
      <c r="O17" s="26">
        <v>4</v>
      </c>
      <c r="P17" s="26">
        <v>5</v>
      </c>
      <c r="Q17" s="27" t="s">
        <v>38</v>
      </c>
      <c r="R17" s="25" t="s">
        <v>49</v>
      </c>
      <c r="S17" s="26">
        <v>1</v>
      </c>
      <c r="T17" s="26">
        <v>2</v>
      </c>
      <c r="U17" s="26">
        <v>3</v>
      </c>
      <c r="V17" s="26">
        <v>4</v>
      </c>
      <c r="W17" s="26">
        <v>5</v>
      </c>
      <c r="X17" s="27" t="s">
        <v>38</v>
      </c>
    </row>
    <row r="18" spans="2:24" ht="21" customHeight="1" x14ac:dyDescent="0.25">
      <c r="B18" s="18" t="s">
        <v>39</v>
      </c>
      <c r="C18" s="23" t="s">
        <v>40</v>
      </c>
      <c r="D18" s="121">
        <f>I6*($F$15/$F$3)^2</f>
        <v>6918.8487680163253</v>
      </c>
      <c r="E18" s="91">
        <v>7069.9140829965472</v>
      </c>
      <c r="F18" s="91">
        <v>6965.2654160017846</v>
      </c>
      <c r="G18" s="91">
        <v>6946.3259590120288</v>
      </c>
      <c r="H18" s="91">
        <v>6978.9869580126833</v>
      </c>
      <c r="I18" s="91">
        <v>7000.6100839964347</v>
      </c>
      <c r="J18" s="122">
        <f>AVERAGE(E18:I18)</f>
        <v>6992.2205000038957</v>
      </c>
      <c r="K18" s="123">
        <f>O6*($F$15/$F$3)^2</f>
        <v>199980000</v>
      </c>
      <c r="L18" s="57">
        <v>199990000</v>
      </c>
      <c r="M18" s="57">
        <v>199990000</v>
      </c>
      <c r="N18" s="57">
        <v>199990000</v>
      </c>
      <c r="O18" s="57">
        <v>199990000</v>
      </c>
      <c r="P18" s="57">
        <v>199990000</v>
      </c>
      <c r="Q18" s="124">
        <f>AVERAGE(L18:P18)</f>
        <v>199990000</v>
      </c>
      <c r="R18" s="123">
        <f>U6*($F$15/$F$3)^2</f>
        <v>199959673.59999999</v>
      </c>
      <c r="S18" s="57">
        <v>199954450</v>
      </c>
      <c r="T18" s="57">
        <v>200281694</v>
      </c>
      <c r="U18" s="57">
        <v>200929414</v>
      </c>
      <c r="V18" s="57">
        <v>199695076</v>
      </c>
      <c r="W18" s="57">
        <v>201771668</v>
      </c>
      <c r="X18" s="124">
        <f>AVERAGE(S18:W18)</f>
        <v>200526460.40000001</v>
      </c>
    </row>
    <row r="19" spans="2:24" ht="21" customHeight="1" x14ac:dyDescent="0.25">
      <c r="B19" s="20" t="s">
        <v>41</v>
      </c>
      <c r="C19" s="12"/>
      <c r="D19" s="28"/>
      <c r="E19" s="1"/>
      <c r="F19" s="1"/>
      <c r="G19" s="1"/>
      <c r="H19" s="1"/>
      <c r="I19" s="1"/>
      <c r="J19" s="4"/>
      <c r="K19" s="3"/>
      <c r="L19" s="1"/>
      <c r="M19" s="1"/>
      <c r="N19" s="1"/>
      <c r="O19" s="1"/>
      <c r="P19" s="1"/>
      <c r="Q19" s="4"/>
      <c r="R19" s="3"/>
      <c r="S19" s="1"/>
      <c r="T19" s="1"/>
      <c r="U19" s="1"/>
      <c r="V19" s="1"/>
      <c r="W19" s="1"/>
      <c r="X19" s="4"/>
    </row>
    <row r="20" spans="2:24" ht="21" customHeight="1" x14ac:dyDescent="0.25">
      <c r="B20" s="20" t="s">
        <v>42</v>
      </c>
      <c r="C20" s="12"/>
      <c r="D20" s="28"/>
      <c r="E20" s="1"/>
      <c r="F20" s="1"/>
      <c r="G20" s="1"/>
      <c r="H20" s="1"/>
      <c r="I20" s="1"/>
      <c r="J20" s="4"/>
      <c r="K20" s="3"/>
      <c r="L20" s="1"/>
      <c r="M20" s="1"/>
      <c r="N20" s="1"/>
      <c r="O20" s="1"/>
      <c r="P20" s="1"/>
      <c r="Q20" s="4"/>
      <c r="R20" s="3"/>
      <c r="S20" s="1"/>
      <c r="T20" s="1"/>
      <c r="U20" s="1"/>
      <c r="V20" s="1"/>
      <c r="W20" s="1"/>
      <c r="X20" s="4"/>
    </row>
    <row r="21" spans="2:24" ht="21" customHeight="1" x14ac:dyDescent="0.25">
      <c r="B21" s="20" t="s">
        <v>43</v>
      </c>
      <c r="C21" s="12"/>
      <c r="D21" s="28"/>
      <c r="E21" s="1"/>
      <c r="F21" s="1"/>
      <c r="G21" s="1"/>
      <c r="H21" s="1"/>
      <c r="I21" s="1"/>
      <c r="J21" s="4"/>
      <c r="K21" s="3"/>
      <c r="L21" s="1"/>
      <c r="M21" s="1"/>
      <c r="N21" s="1"/>
      <c r="O21" s="1"/>
      <c r="P21" s="1"/>
      <c r="Q21" s="4"/>
      <c r="R21" s="3"/>
      <c r="S21" s="1"/>
      <c r="T21" s="1"/>
      <c r="U21" s="1"/>
      <c r="V21" s="1"/>
      <c r="W21" s="1"/>
      <c r="X21" s="4"/>
    </row>
    <row r="22" spans="2:24" ht="21" customHeight="1" x14ac:dyDescent="0.25">
      <c r="B22" s="20" t="s">
        <v>44</v>
      </c>
      <c r="C22" s="12" t="s">
        <v>45</v>
      </c>
      <c r="D22" s="125">
        <f>I10*($F$15*LOG($F$15,2))/($F$3*LOG($F$3,2))</f>
        <v>13.091421338203871</v>
      </c>
      <c r="E22" s="96">
        <v>12.636625004233791</v>
      </c>
      <c r="F22" s="96">
        <v>12.843040996813221</v>
      </c>
      <c r="G22" s="96">
        <v>13.884665997466071</v>
      </c>
      <c r="H22" s="96">
        <v>12.39741699828301</v>
      </c>
      <c r="I22" s="96">
        <v>12.57441700727213</v>
      </c>
      <c r="J22" s="117">
        <f>AVERAGE(E22:I22)</f>
        <v>12.867233200813644</v>
      </c>
      <c r="K22" s="126">
        <f>O10*($F$15*LOG($F$15,2))/($F$3*LOG($F$3,2))</f>
        <v>525854.249741868</v>
      </c>
      <c r="L22" s="64">
        <v>503615</v>
      </c>
      <c r="M22" s="64">
        <v>551381</v>
      </c>
      <c r="N22" s="64">
        <v>589730</v>
      </c>
      <c r="O22" s="64">
        <v>495507</v>
      </c>
      <c r="P22" s="64">
        <v>522148</v>
      </c>
      <c r="Q22" s="97">
        <f>AVERAGE(L22:P22)</f>
        <v>532476.19999999995</v>
      </c>
      <c r="R22" s="126">
        <f>U10*($F$15*LOG($F$15,2))/($F$3*LOG($F$3,2))</f>
        <v>691747.55729262508</v>
      </c>
      <c r="S22" s="64">
        <v>672110</v>
      </c>
      <c r="T22" s="64">
        <v>705740</v>
      </c>
      <c r="U22" s="64">
        <v>765584</v>
      </c>
      <c r="V22" s="64">
        <v>659278</v>
      </c>
      <c r="W22" s="64">
        <v>680216</v>
      </c>
      <c r="X22" s="97">
        <f>AVERAGE(S22:W22)</f>
        <v>696585.6</v>
      </c>
    </row>
    <row r="23" spans="2:24" ht="21" customHeight="1" x14ac:dyDescent="0.25">
      <c r="B23" s="35" t="s">
        <v>46</v>
      </c>
      <c r="C23" s="37"/>
      <c r="D23" s="38"/>
      <c r="E23" s="6"/>
      <c r="F23" s="6"/>
      <c r="G23" s="6"/>
      <c r="H23" s="6"/>
      <c r="I23" s="6"/>
      <c r="J23" s="7"/>
      <c r="K23" s="39"/>
      <c r="L23" s="6"/>
      <c r="M23" s="6"/>
      <c r="N23" s="6"/>
      <c r="O23" s="6"/>
      <c r="P23" s="6"/>
      <c r="Q23" s="7"/>
      <c r="R23" s="39"/>
      <c r="S23" s="6"/>
      <c r="T23" s="6"/>
      <c r="U23" s="6"/>
      <c r="V23" s="6"/>
      <c r="W23" s="6"/>
      <c r="X23" s="7"/>
    </row>
    <row r="24" spans="2:24" ht="21.75" customHeight="1" thickBot="1" x14ac:dyDescent="0.3">
      <c r="B24" s="21" t="s">
        <v>47</v>
      </c>
      <c r="C24" s="24" t="s">
        <v>48</v>
      </c>
      <c r="D24" s="127">
        <f>I12*$F$15/$F$3</f>
        <v>7.6388831890653819</v>
      </c>
      <c r="E24" s="99">
        <v>7.7389170037349686</v>
      </c>
      <c r="F24" s="99">
        <v>7.728707991191186</v>
      </c>
      <c r="G24" s="99">
        <v>7.8971250040922314</v>
      </c>
      <c r="H24" s="99">
        <v>7.6143749902257696</v>
      </c>
      <c r="I24" s="99">
        <v>7.6731250010197982</v>
      </c>
      <c r="J24" s="119">
        <f>AVERAGE(E24:I24)</f>
        <v>7.7304499980527908</v>
      </c>
      <c r="K24" s="128">
        <f>O12*$F$15/$F$3</f>
        <v>20010</v>
      </c>
      <c r="L24" s="86">
        <v>20005</v>
      </c>
      <c r="M24" s="86">
        <v>20005</v>
      </c>
      <c r="N24" s="86">
        <v>20005</v>
      </c>
      <c r="O24" s="86">
        <v>20005</v>
      </c>
      <c r="P24" s="86">
        <v>20005</v>
      </c>
      <c r="Q24" s="88">
        <f>AVERAGE(L24:P24)</f>
        <v>20005</v>
      </c>
      <c r="R24" s="128">
        <f>U12*$F$15/$F$3</f>
        <v>100000</v>
      </c>
      <c r="S24" s="86">
        <v>100000</v>
      </c>
      <c r="T24" s="86">
        <v>100000</v>
      </c>
      <c r="U24" s="86">
        <v>100000</v>
      </c>
      <c r="V24" s="86">
        <v>100000</v>
      </c>
      <c r="W24" s="86">
        <v>100000</v>
      </c>
      <c r="X24" s="88">
        <f>AVERAGE(S24:W24)</f>
        <v>100000</v>
      </c>
    </row>
    <row r="27" spans="2:24" ht="19" x14ac:dyDescent="0.25">
      <c r="B27" s="129" t="s">
        <v>50</v>
      </c>
    </row>
    <row r="28" spans="2:24" ht="16" x14ac:dyDescent="0.2">
      <c r="B28" s="104" t="s">
        <v>36</v>
      </c>
      <c r="C28" s="104" t="s">
        <v>51</v>
      </c>
      <c r="D28" s="104" t="s">
        <v>52</v>
      </c>
      <c r="E28" s="104" t="s">
        <v>53</v>
      </c>
    </row>
    <row r="29" spans="2:24" ht="16" x14ac:dyDescent="0.2">
      <c r="B29" s="105" t="s">
        <v>39</v>
      </c>
      <c r="C29" s="106">
        <f>D18/J18</f>
        <v>0.98950666215581595</v>
      </c>
      <c r="D29" s="106">
        <f>K18/Q18</f>
        <v>0.99994999749987501</v>
      </c>
      <c r="E29" s="106">
        <f>R18/X18</f>
        <v>0.9971735061853213</v>
      </c>
    </row>
    <row r="30" spans="2:24" ht="16" x14ac:dyDescent="0.2">
      <c r="B30" s="105" t="s">
        <v>44</v>
      </c>
      <c r="C30" s="106">
        <f>D22/J22</f>
        <v>1.017423181339097</v>
      </c>
      <c r="D30" s="106">
        <f>K22/Q22</f>
        <v>0.9875638568294095</v>
      </c>
      <c r="E30" s="106">
        <f>R22/X22</f>
        <v>0.99305463290172102</v>
      </c>
    </row>
    <row r="31" spans="2:24" ht="16" x14ac:dyDescent="0.2">
      <c r="B31" s="105" t="s">
        <v>47</v>
      </c>
      <c r="C31" s="106">
        <f>D24/J24</f>
        <v>0.98815504802301635</v>
      </c>
      <c r="D31" s="106">
        <f>K24/Q24</f>
        <v>1.0002499375156211</v>
      </c>
      <c r="E31" s="106">
        <f>R24/X24</f>
        <v>1</v>
      </c>
    </row>
    <row r="33" spans="2:21" x14ac:dyDescent="0.2">
      <c r="B33" s="107" t="s">
        <v>19</v>
      </c>
    </row>
    <row r="34" spans="2:21" x14ac:dyDescent="0.2">
      <c r="B34" s="107" t="s">
        <v>54</v>
      </c>
    </row>
    <row r="35" spans="2:21" x14ac:dyDescent="0.2">
      <c r="B35" s="107" t="s">
        <v>55</v>
      </c>
    </row>
    <row r="36" spans="2:21" x14ac:dyDescent="0.2">
      <c r="B36" s="107" t="s">
        <v>56</v>
      </c>
    </row>
    <row r="37" spans="2:21" x14ac:dyDescent="0.2">
      <c r="B37" s="107" t="s">
        <v>57</v>
      </c>
    </row>
    <row r="39" spans="2:21" x14ac:dyDescent="0.2">
      <c r="B39" s="111"/>
      <c r="C39" s="107" t="s">
        <v>58</v>
      </c>
    </row>
    <row r="42" spans="2:21" x14ac:dyDescent="0.2"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</row>
    <row r="43" spans="2:21" x14ac:dyDescent="0.2"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</row>
    <row r="44" spans="2:21" x14ac:dyDescent="0.2"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</row>
    <row r="45" spans="2:21" x14ac:dyDescent="0.2"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</row>
    <row r="46" spans="2:21" x14ac:dyDescent="0.2"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</row>
    <row r="47" spans="2:21" x14ac:dyDescent="0.2"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</row>
    <row r="48" spans="2:21" x14ac:dyDescent="0.2"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</row>
    <row r="49" spans="3:21" x14ac:dyDescent="0.2"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</row>
    <row r="50" spans="3:21" x14ac:dyDescent="0.2"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</row>
    <row r="51" spans="3:21" x14ac:dyDescent="0.2"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</row>
    <row r="52" spans="3:21" x14ac:dyDescent="0.2"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</row>
    <row r="53" spans="3:21" x14ac:dyDescent="0.2"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</row>
    <row r="54" spans="3:21" x14ac:dyDescent="0.2"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</row>
    <row r="55" spans="3:21" x14ac:dyDescent="0.2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</row>
    <row r="56" spans="3:21" x14ac:dyDescent="0.2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3:21" x14ac:dyDescent="0.2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</row>
    <row r="58" spans="3:21" x14ac:dyDescent="0.2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</row>
    <row r="59" spans="3:21" x14ac:dyDescent="0.2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</row>
    <row r="60" spans="3:21" x14ac:dyDescent="0.2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</row>
  </sheetData>
  <mergeCells count="12">
    <mergeCell ref="K16:Q16"/>
    <mergeCell ref="D16:J16"/>
    <mergeCell ref="R16:X16"/>
    <mergeCell ref="H15:X15"/>
    <mergeCell ref="J4:O4"/>
    <mergeCell ref="P4:U4"/>
    <mergeCell ref="F3:G3"/>
    <mergeCell ref="F15:G15"/>
    <mergeCell ref="D15:E15"/>
    <mergeCell ref="H3:U3"/>
    <mergeCell ref="D4:I4"/>
    <mergeCell ref="D3:E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46"/>
  <sheetViews>
    <sheetView workbookViewId="0">
      <selection activeCell="B3" sqref="B3:B4"/>
    </sheetView>
  </sheetViews>
  <sheetFormatPr baseColWidth="10" defaultColWidth="8.83203125" defaultRowHeight="15" x14ac:dyDescent="0.2"/>
  <cols>
    <col min="1" max="1" width="11" customWidth="1"/>
    <col min="2" max="2" width="9" customWidth="1"/>
    <col min="3" max="3" width="10.5" style="40" customWidth="1"/>
    <col min="4" max="4" width="11" customWidth="1"/>
    <col min="5" max="5" width="15.5" customWidth="1"/>
    <col min="6" max="6" width="11" customWidth="1"/>
    <col min="7" max="7" width="15.5" customWidth="1"/>
    <col min="8" max="9" width="11" customWidth="1"/>
    <col min="11" max="11" width="11.5" customWidth="1"/>
    <col min="12" max="12" width="11" customWidth="1"/>
    <col min="13" max="13" width="15.5" customWidth="1"/>
    <col min="14" max="14" width="11" customWidth="1"/>
    <col min="15" max="15" width="15.5" customWidth="1"/>
    <col min="18" max="18" width="11" customWidth="1"/>
    <col min="19" max="19" width="13.1640625" customWidth="1"/>
    <col min="21" max="21" width="11.1640625" customWidth="1"/>
    <col min="22" max="22" width="12" customWidth="1"/>
    <col min="23" max="23" width="21" customWidth="1"/>
  </cols>
  <sheetData>
    <row r="1" spans="2:23" ht="15.75" customHeight="1" thickBot="1" x14ac:dyDescent="0.25"/>
    <row r="2" spans="2:23" ht="19.5" customHeight="1" thickBot="1" x14ac:dyDescent="0.3">
      <c r="B2" s="214" t="s">
        <v>59</v>
      </c>
      <c r="C2" s="182"/>
      <c r="D2" s="182"/>
      <c r="E2" s="182"/>
      <c r="F2" s="182"/>
      <c r="G2" s="183"/>
      <c r="J2" s="214" t="s">
        <v>60</v>
      </c>
      <c r="K2" s="182"/>
      <c r="L2" s="182"/>
      <c r="M2" s="182"/>
      <c r="N2" s="182"/>
      <c r="O2" s="183"/>
      <c r="R2" s="216" t="s">
        <v>61</v>
      </c>
      <c r="S2" s="217"/>
      <c r="T2" s="217"/>
      <c r="U2" s="217"/>
      <c r="V2" s="217"/>
      <c r="W2" s="218"/>
    </row>
    <row r="3" spans="2:23" ht="16.5" customHeight="1" thickBot="1" x14ac:dyDescent="0.25">
      <c r="B3" s="219" t="s">
        <v>62</v>
      </c>
      <c r="C3" s="219" t="s">
        <v>63</v>
      </c>
      <c r="D3" s="215" t="s">
        <v>64</v>
      </c>
      <c r="E3" s="211"/>
      <c r="F3" s="213" t="s">
        <v>65</v>
      </c>
      <c r="G3" s="211"/>
      <c r="J3" s="219" t="s">
        <v>62</v>
      </c>
      <c r="K3" s="219" t="s">
        <v>63</v>
      </c>
      <c r="L3" s="215" t="s">
        <v>64</v>
      </c>
      <c r="M3" s="211"/>
      <c r="N3" s="213" t="s">
        <v>65</v>
      </c>
      <c r="O3" s="211"/>
      <c r="R3" s="222" t="s">
        <v>66</v>
      </c>
      <c r="S3" s="224" t="s">
        <v>67</v>
      </c>
      <c r="T3" s="227" t="s">
        <v>65</v>
      </c>
      <c r="U3" s="228"/>
      <c r="V3" s="220" t="s">
        <v>18</v>
      </c>
      <c r="W3" s="225" t="s">
        <v>68</v>
      </c>
    </row>
    <row r="4" spans="2:23" ht="15.75" customHeight="1" thickBot="1" x14ac:dyDescent="0.25">
      <c r="B4" s="180"/>
      <c r="C4" s="180"/>
      <c r="D4" s="43" t="s">
        <v>9</v>
      </c>
      <c r="E4" s="42" t="s">
        <v>69</v>
      </c>
      <c r="F4" s="42" t="s">
        <v>9</v>
      </c>
      <c r="G4" s="42" t="s">
        <v>69</v>
      </c>
      <c r="J4" s="180"/>
      <c r="K4" s="180"/>
      <c r="L4" s="43" t="s">
        <v>9</v>
      </c>
      <c r="M4" s="42" t="s">
        <v>69</v>
      </c>
      <c r="N4" s="42" t="s">
        <v>9</v>
      </c>
      <c r="O4" s="42" t="s">
        <v>69</v>
      </c>
      <c r="R4" s="223"/>
      <c r="S4" s="221"/>
      <c r="T4" s="130" t="s">
        <v>9</v>
      </c>
      <c r="U4" s="130" t="s">
        <v>69</v>
      </c>
      <c r="V4" s="221"/>
      <c r="W4" s="226"/>
    </row>
    <row r="5" spans="2:23" x14ac:dyDescent="0.2">
      <c r="B5" s="46">
        <v>4</v>
      </c>
      <c r="C5" s="50" t="s">
        <v>70</v>
      </c>
      <c r="D5" s="53" t="s">
        <v>71</v>
      </c>
      <c r="E5" s="57">
        <v>17784</v>
      </c>
      <c r="F5" s="44" t="s">
        <v>71</v>
      </c>
      <c r="G5" s="131">
        <v>1.7990000051213431</v>
      </c>
      <c r="J5" s="46">
        <v>4</v>
      </c>
      <c r="K5" s="50" t="s">
        <v>70</v>
      </c>
      <c r="L5" s="53" t="s">
        <v>71</v>
      </c>
      <c r="M5" s="57">
        <v>17784</v>
      </c>
      <c r="N5" s="44" t="s">
        <v>71</v>
      </c>
      <c r="O5" s="131">
        <v>1.520416990388185</v>
      </c>
      <c r="R5" s="132">
        <v>8836</v>
      </c>
      <c r="S5" s="133" t="s">
        <v>72</v>
      </c>
      <c r="T5" s="133" t="s">
        <v>71</v>
      </c>
      <c r="U5" s="134">
        <v>3.869166001095437</v>
      </c>
      <c r="V5" s="135" t="s">
        <v>71</v>
      </c>
      <c r="W5" s="136" t="s">
        <v>73</v>
      </c>
    </row>
    <row r="6" spans="2:23" x14ac:dyDescent="0.2">
      <c r="B6" s="47">
        <v>4</v>
      </c>
      <c r="C6" s="51" t="s">
        <v>74</v>
      </c>
      <c r="D6" s="41" t="s">
        <v>71</v>
      </c>
      <c r="E6" s="64">
        <v>15080</v>
      </c>
      <c r="F6" s="45" t="s">
        <v>71</v>
      </c>
      <c r="G6" s="137">
        <v>1.470792005420662</v>
      </c>
      <c r="J6" s="47">
        <v>4</v>
      </c>
      <c r="K6" s="51" t="s">
        <v>74</v>
      </c>
      <c r="L6" s="41" t="s">
        <v>71</v>
      </c>
      <c r="M6" s="64">
        <v>15080</v>
      </c>
      <c r="N6" s="45" t="s">
        <v>71</v>
      </c>
      <c r="O6" s="137">
        <v>1.143999994383194</v>
      </c>
      <c r="R6" s="138">
        <v>67800</v>
      </c>
      <c r="S6" s="139" t="s">
        <v>72</v>
      </c>
      <c r="T6" s="140">
        <f>U$5*R6/R$5</f>
        <v>29.688711506821033</v>
      </c>
      <c r="U6" s="141">
        <v>31.425332999788221</v>
      </c>
      <c r="V6" s="142">
        <f>T6/U6</f>
        <v>0.94473816735756178</v>
      </c>
      <c r="W6" s="143" t="s">
        <v>75</v>
      </c>
    </row>
    <row r="7" spans="2:23" x14ac:dyDescent="0.2">
      <c r="B7" s="47">
        <v>4</v>
      </c>
      <c r="C7" s="51" t="s">
        <v>76</v>
      </c>
      <c r="D7" s="41" t="s">
        <v>71</v>
      </c>
      <c r="E7" s="64">
        <v>12008</v>
      </c>
      <c r="F7" s="45" t="s">
        <v>71</v>
      </c>
      <c r="G7" s="137">
        <v>1.145040994742885</v>
      </c>
      <c r="J7" s="47">
        <v>4</v>
      </c>
      <c r="K7" s="51" t="s">
        <v>76</v>
      </c>
      <c r="L7" s="41" t="s">
        <v>71</v>
      </c>
      <c r="M7" s="64">
        <v>12008</v>
      </c>
      <c r="N7" s="45" t="s">
        <v>71</v>
      </c>
      <c r="O7" s="137">
        <v>0.89116599701810628</v>
      </c>
      <c r="R7" s="138">
        <v>155109</v>
      </c>
      <c r="S7" s="139" t="s">
        <v>72</v>
      </c>
      <c r="T7" s="140">
        <f>U$5*R7/R$5</f>
        <v>67.920152700759644</v>
      </c>
      <c r="U7" s="141">
        <v>71.692291996441782</v>
      </c>
      <c r="V7" s="142">
        <f>T7/U7</f>
        <v>0.94738431160954717</v>
      </c>
      <c r="W7" s="143" t="s">
        <v>77</v>
      </c>
    </row>
    <row r="8" spans="2:23" x14ac:dyDescent="0.2">
      <c r="B8" s="48">
        <v>5</v>
      </c>
      <c r="C8" s="51" t="s">
        <v>70</v>
      </c>
      <c r="D8" s="144">
        <f>E$5*8^(B8^2-B$5^2)</f>
        <v>2386928074752</v>
      </c>
      <c r="E8" s="64">
        <v>410528</v>
      </c>
      <c r="F8" s="145">
        <f>G$5*8^(B8^2-B$5^2)</f>
        <v>241457693.35937503</v>
      </c>
      <c r="G8" s="137">
        <v>49.260999992839061</v>
      </c>
      <c r="J8" s="48">
        <v>5</v>
      </c>
      <c r="K8" s="51" t="s">
        <v>70</v>
      </c>
      <c r="L8" s="144">
        <f>M$5*8^(J8^2-J$5^2)</f>
        <v>2386928074752</v>
      </c>
      <c r="M8" s="64">
        <v>13878200</v>
      </c>
      <c r="N8" s="145">
        <f>O$5*8^(J8^2-J$5^2)</f>
        <v>204066914.06250003</v>
      </c>
      <c r="O8" s="137">
        <v>1659.908291010652</v>
      </c>
      <c r="R8" s="138">
        <v>480700</v>
      </c>
      <c r="S8" s="139" t="s">
        <v>72</v>
      </c>
      <c r="T8" s="140">
        <f>U$5*R8/R$5</f>
        <v>210.49208881016031</v>
      </c>
      <c r="U8" s="141">
        <v>242.15637499582951</v>
      </c>
      <c r="V8" s="142">
        <f>T8/U8</f>
        <v>0.86924033618270624</v>
      </c>
      <c r="W8" s="143" t="s">
        <v>78</v>
      </c>
    </row>
    <row r="9" spans="2:23" x14ac:dyDescent="0.2">
      <c r="B9" s="48">
        <v>5</v>
      </c>
      <c r="C9" s="51" t="s">
        <v>74</v>
      </c>
      <c r="D9" s="144">
        <f>E$6*8^(B9^2-B$6^2)</f>
        <v>2024003338240</v>
      </c>
      <c r="E9" s="64">
        <v>14635368</v>
      </c>
      <c r="F9" s="145">
        <f>G$6*8^(B9^2-B$6^2)</f>
        <v>197406361.32812494</v>
      </c>
      <c r="G9" s="137">
        <v>1685.13716700545</v>
      </c>
      <c r="J9" s="48">
        <v>5</v>
      </c>
      <c r="K9" s="51" t="s">
        <v>74</v>
      </c>
      <c r="L9" s="144">
        <f>M$6*8^(J9^2-J$6^2)</f>
        <v>2024003338240</v>
      </c>
      <c r="M9" s="64">
        <v>14635368</v>
      </c>
      <c r="N9" s="145">
        <f>O$6*8^(J9^2-J$6^2)</f>
        <v>153545080.07812506</v>
      </c>
      <c r="O9" s="137">
        <v>1721.2991669948681</v>
      </c>
      <c r="R9" s="138">
        <v>8836</v>
      </c>
      <c r="S9" s="139" t="s">
        <v>79</v>
      </c>
      <c r="T9" s="139" t="s">
        <v>71</v>
      </c>
      <c r="U9" s="141">
        <v>4.4905000104336068</v>
      </c>
      <c r="V9" s="146" t="s">
        <v>71</v>
      </c>
      <c r="W9" s="143" t="s">
        <v>73</v>
      </c>
    </row>
    <row r="10" spans="2:23" x14ac:dyDescent="0.2">
      <c r="B10" s="48">
        <v>5</v>
      </c>
      <c r="C10" s="51" t="s">
        <v>80</v>
      </c>
      <c r="D10" s="144">
        <f>E$6*8^(B10^2-B$6^2)</f>
        <v>2024003338240</v>
      </c>
      <c r="E10" s="64">
        <v>310629</v>
      </c>
      <c r="F10" s="145">
        <f>G$6*8^(B10^2-B$6^2)</f>
        <v>197406361.32812494</v>
      </c>
      <c r="G10" s="137">
        <v>36.362416998599663</v>
      </c>
      <c r="J10" s="48">
        <v>5</v>
      </c>
      <c r="K10" s="51" t="s">
        <v>80</v>
      </c>
      <c r="L10" s="144">
        <f>M$6*8^(J10^2-J$6^2)</f>
        <v>2024003338240</v>
      </c>
      <c r="M10" s="64">
        <v>11631464</v>
      </c>
      <c r="N10" s="145">
        <f>O$6*8^(J10^2-J$6^2)</f>
        <v>153545080.07812506</v>
      </c>
      <c r="O10" s="137">
        <v>1338.121499997214</v>
      </c>
      <c r="R10" s="138">
        <v>67800</v>
      </c>
      <c r="S10" s="139" t="s">
        <v>79</v>
      </c>
      <c r="T10" s="140">
        <f>U$9*R10/R$9</f>
        <v>34.456303837414957</v>
      </c>
      <c r="U10" s="141">
        <v>34.445541008608423</v>
      </c>
      <c r="V10" s="142">
        <f>T10/U10</f>
        <v>1.0003124592760453</v>
      </c>
      <c r="W10" s="143" t="s">
        <v>75</v>
      </c>
    </row>
    <row r="11" spans="2:23" x14ac:dyDescent="0.2">
      <c r="B11" s="48">
        <v>5</v>
      </c>
      <c r="C11" s="51" t="s">
        <v>76</v>
      </c>
      <c r="D11" s="144">
        <f>E$7*8^(B11^2-B$7^2)</f>
        <v>1611686477824</v>
      </c>
      <c r="E11" s="64">
        <v>5019640</v>
      </c>
      <c r="F11" s="145">
        <f>G$7*8^(B11^2-B$7^2)</f>
        <v>153684800.78124997</v>
      </c>
      <c r="G11" s="137">
        <v>555.51079199358355</v>
      </c>
      <c r="J11" s="48">
        <v>5</v>
      </c>
      <c r="K11" s="51" t="s">
        <v>76</v>
      </c>
      <c r="L11" s="144">
        <f>M$7*8^(J11^2-J$7^2)</f>
        <v>1611686477824</v>
      </c>
      <c r="M11" s="64">
        <v>11723368</v>
      </c>
      <c r="N11" s="145">
        <f>O$7*8^(J11^2-J$7^2)</f>
        <v>119610275.390625</v>
      </c>
      <c r="O11" s="137">
        <v>1345.411665999563</v>
      </c>
      <c r="R11" s="138">
        <v>155109</v>
      </c>
      <c r="S11" s="139" t="s">
        <v>79</v>
      </c>
      <c r="T11" s="140">
        <f>U$9*R11/R$9</f>
        <v>78.827180411763962</v>
      </c>
      <c r="U11" s="141">
        <v>78.456540999468416</v>
      </c>
      <c r="V11" s="142">
        <f>T11/U11</f>
        <v>1.0047241365420132</v>
      </c>
      <c r="W11" s="143" t="s">
        <v>77</v>
      </c>
    </row>
    <row r="12" spans="2:23" x14ac:dyDescent="0.2">
      <c r="B12" s="48">
        <v>5</v>
      </c>
      <c r="C12" s="51" t="s">
        <v>81</v>
      </c>
      <c r="D12" s="144">
        <f>E$7*8^(B12^2-B$7^2)</f>
        <v>1611686477824</v>
      </c>
      <c r="E12" s="64">
        <v>8231144</v>
      </c>
      <c r="F12" s="145">
        <f>G$7*8^(B12^2-B$7^2)</f>
        <v>153684800.78124997</v>
      </c>
      <c r="G12" s="137">
        <v>929.20404199685436</v>
      </c>
      <c r="J12" s="48">
        <v>5</v>
      </c>
      <c r="K12" s="51" t="s">
        <v>81</v>
      </c>
      <c r="L12" s="144">
        <f>M$7*8^(J12^2-J$7^2)</f>
        <v>1611686477824</v>
      </c>
      <c r="M12" s="64">
        <v>8231144</v>
      </c>
      <c r="N12" s="145">
        <f>O$7*8^(J12^2-J$7^2)</f>
        <v>119610275.390625</v>
      </c>
      <c r="O12" s="137">
        <v>995.62829099886585</v>
      </c>
      <c r="R12" s="138">
        <v>480700</v>
      </c>
      <c r="S12" s="139" t="s">
        <v>79</v>
      </c>
      <c r="T12" s="140">
        <f>U$9*R12/R$9</f>
        <v>244.29417779712932</v>
      </c>
      <c r="U12" s="141">
        <v>241.01008399156851</v>
      </c>
      <c r="V12" s="142">
        <f>T12/U12</f>
        <v>1.0136263750925696</v>
      </c>
      <c r="W12" s="143" t="s">
        <v>78</v>
      </c>
    </row>
    <row r="13" spans="2:23" x14ac:dyDescent="0.2">
      <c r="B13" s="48">
        <v>5</v>
      </c>
      <c r="C13" s="51" t="s">
        <v>82</v>
      </c>
      <c r="D13" s="144">
        <f>E$7*8^(B13^2-B$7^2)</f>
        <v>1611686477824</v>
      </c>
      <c r="E13" s="64">
        <v>283713</v>
      </c>
      <c r="F13" s="145">
        <f>G$7*8^(B13^2-B$7^2)</f>
        <v>153684800.78124997</v>
      </c>
      <c r="G13" s="137">
        <v>30.682415992487218</v>
      </c>
      <c r="J13" s="48">
        <v>5</v>
      </c>
      <c r="K13" s="51" t="s">
        <v>82</v>
      </c>
      <c r="L13" s="144">
        <f>M$7*8^(J13^2-J$7^2)</f>
        <v>1611686477824</v>
      </c>
      <c r="M13" s="64">
        <v>5132104</v>
      </c>
      <c r="N13" s="145">
        <f>O$7*8^(J13^2-J$7^2)</f>
        <v>119610275.390625</v>
      </c>
      <c r="O13" s="137">
        <v>620.91079200035892</v>
      </c>
      <c r="R13" s="138">
        <v>8836</v>
      </c>
      <c r="S13" s="139" t="s">
        <v>83</v>
      </c>
      <c r="T13" s="139" t="s">
        <v>71</v>
      </c>
      <c r="U13" s="141">
        <v>3.7909999955445528</v>
      </c>
      <c r="V13" s="146" t="s">
        <v>71</v>
      </c>
      <c r="W13" s="143" t="s">
        <v>73</v>
      </c>
    </row>
    <row r="14" spans="2:23" x14ac:dyDescent="0.2">
      <c r="B14" s="48">
        <v>6</v>
      </c>
      <c r="C14" s="51" t="s">
        <v>70</v>
      </c>
      <c r="D14" s="144">
        <f>E$5*8^(B14^2-B$5^2)</f>
        <v>2.0503556037928167E+22</v>
      </c>
      <c r="E14" s="64">
        <v>1277366</v>
      </c>
      <c r="F14" s="145">
        <f>G$5*8^(B14^2-B$5^2)</f>
        <v>2.0741057926922243E+18</v>
      </c>
      <c r="G14" s="137">
        <v>203.86812501237731</v>
      </c>
      <c r="J14" s="48">
        <v>6</v>
      </c>
      <c r="K14" s="51" t="s">
        <v>70</v>
      </c>
      <c r="L14" s="144">
        <f>M$5*8^(J14^2-J$5^2)</f>
        <v>2.0503556037928167E+22</v>
      </c>
      <c r="M14" s="147">
        <v>115000000</v>
      </c>
      <c r="N14" s="145">
        <f>O$5*8^(J14^2-J$5^2)</f>
        <v>1.7529214441881603E+18</v>
      </c>
      <c r="O14" s="148">
        <v>18413.979625009229</v>
      </c>
      <c r="R14" s="138">
        <v>67800</v>
      </c>
      <c r="S14" s="139" t="s">
        <v>83</v>
      </c>
      <c r="T14" s="140">
        <f>U$13*R14/R$13</f>
        <v>29.088931609090164</v>
      </c>
      <c r="U14" s="141">
        <v>32.165625001653098</v>
      </c>
      <c r="V14" s="142">
        <f>T14/U14</f>
        <v>0.90434840322845234</v>
      </c>
      <c r="W14" s="143" t="s">
        <v>75</v>
      </c>
    </row>
    <row r="15" spans="2:23" x14ac:dyDescent="0.2">
      <c r="B15" s="48">
        <v>6</v>
      </c>
      <c r="C15" s="51" t="s">
        <v>74</v>
      </c>
      <c r="D15" s="144">
        <f>E$6*8^(B15^2-B$6^2)</f>
        <v>1.7386056289471252E+22</v>
      </c>
      <c r="E15" s="147">
        <v>756000019</v>
      </c>
      <c r="F15" s="145">
        <f>G$6*8^(B15^2-B$6^2)</f>
        <v>1.6957077318533115E+18</v>
      </c>
      <c r="G15" s="148">
        <v>120143.2562090049</v>
      </c>
      <c r="J15" s="48">
        <v>6</v>
      </c>
      <c r="K15" s="51" t="s">
        <v>74</v>
      </c>
      <c r="L15" s="144">
        <f>M$6*8^(J15^2-J$6^2)</f>
        <v>1.7386056289471252E+22</v>
      </c>
      <c r="M15" s="147">
        <v>81000000</v>
      </c>
      <c r="N15" s="145">
        <f>O$6*8^(J15^2-J$6^2)</f>
        <v>1.3189421947944965E+18</v>
      </c>
      <c r="O15" s="148">
        <v>11691.55895800213</v>
      </c>
      <c r="R15" s="138">
        <v>155109</v>
      </c>
      <c r="S15" s="139" t="s">
        <v>83</v>
      </c>
      <c r="T15" s="140">
        <f>U$13*R15/R$13</f>
        <v>66.548010220565871</v>
      </c>
      <c r="U15" s="141">
        <v>74.133416012045927</v>
      </c>
      <c r="V15" s="142">
        <f>T15/U15</f>
        <v>0.89767899282764052</v>
      </c>
      <c r="W15" s="143" t="s">
        <v>77</v>
      </c>
    </row>
    <row r="16" spans="2:23" ht="15.75" customHeight="1" thickBot="1" x14ac:dyDescent="0.25">
      <c r="B16" s="48">
        <v>6</v>
      </c>
      <c r="C16" s="51" t="s">
        <v>80</v>
      </c>
      <c r="D16" s="144">
        <f>E$6*8^(B16^2-B$6^2)</f>
        <v>1.7386056289471252E+22</v>
      </c>
      <c r="E16" s="64">
        <v>205620</v>
      </c>
      <c r="F16" s="145">
        <f>G$6*8^(B16^2-B$6^2)</f>
        <v>1.6957077318533115E+18</v>
      </c>
      <c r="G16" s="137">
        <v>33.929291996173561</v>
      </c>
      <c r="J16" s="48">
        <v>6</v>
      </c>
      <c r="K16" s="51" t="s">
        <v>80</v>
      </c>
      <c r="L16" s="144">
        <f>M$6*8^(J16^2-J$6^2)</f>
        <v>1.7386056289471252E+22</v>
      </c>
      <c r="M16" s="147">
        <v>84000000</v>
      </c>
      <c r="N16" s="145">
        <f>O$6*8^(J16^2-J$6^2)</f>
        <v>1.3189421947944965E+18</v>
      </c>
      <c r="O16" s="148">
        <v>12049.640666999039</v>
      </c>
      <c r="R16" s="149">
        <v>480700</v>
      </c>
      <c r="S16" s="150" t="s">
        <v>83</v>
      </c>
      <c r="T16" s="151">
        <f>U$13*R16/R$13</f>
        <v>206.23966702787081</v>
      </c>
      <c r="U16" s="152">
        <v>229.26999999617689</v>
      </c>
      <c r="V16" s="153">
        <f>T16/U16</f>
        <v>0.89954929572691533</v>
      </c>
      <c r="W16" s="154" t="s">
        <v>78</v>
      </c>
    </row>
    <row r="17" spans="2:18" x14ac:dyDescent="0.2">
      <c r="B17" s="48">
        <v>6</v>
      </c>
      <c r="C17" s="51" t="s">
        <v>76</v>
      </c>
      <c r="D17" s="144">
        <f>E$7*8^(B17^2-B$7^2)</f>
        <v>1.3844281427319018E+22</v>
      </c>
      <c r="E17" s="64">
        <v>14288574</v>
      </c>
      <c r="F17" s="145">
        <f>G$7*8^(B17^2-B$7^2)</f>
        <v>1.3201423864954877E+18</v>
      </c>
      <c r="G17" s="137">
        <v>2134.4712080026511</v>
      </c>
      <c r="J17" s="48">
        <v>6</v>
      </c>
      <c r="K17" s="51" t="s">
        <v>76</v>
      </c>
      <c r="L17" s="144">
        <f>M$7*8^(J17^2-J$7^2)</f>
        <v>1.3844281427319018E+22</v>
      </c>
      <c r="M17" s="147">
        <v>86000000</v>
      </c>
      <c r="N17" s="145">
        <f>O$7*8^(J17^2-J$7^2)</f>
        <v>1.027444442136576E+18</v>
      </c>
      <c r="O17" s="148">
        <v>12129.66708399472</v>
      </c>
    </row>
    <row r="18" spans="2:18" x14ac:dyDescent="0.2">
      <c r="B18" s="48">
        <v>6</v>
      </c>
      <c r="C18" s="51" t="s">
        <v>81</v>
      </c>
      <c r="D18" s="144">
        <f>E$7*8^(B18^2-B$7^2)</f>
        <v>1.3844281427319018E+22</v>
      </c>
      <c r="E18" s="147">
        <v>783000002</v>
      </c>
      <c r="F18" s="145">
        <f>G$7*8^(B18^2-B$7^2)</f>
        <v>1.3201423864954877E+18</v>
      </c>
      <c r="G18" s="148">
        <v>120081.6350839887</v>
      </c>
      <c r="J18" s="48">
        <v>6</v>
      </c>
      <c r="K18" s="51" t="s">
        <v>81</v>
      </c>
      <c r="L18" s="144">
        <f>M$7*8^(J18^2-J$7^2)</f>
        <v>1.3844281427319018E+22</v>
      </c>
      <c r="M18" s="147">
        <v>87000000</v>
      </c>
      <c r="N18" s="145">
        <f>O$7*8^(J18^2-J$7^2)</f>
        <v>1.027444442136576E+18</v>
      </c>
      <c r="O18" s="148">
        <v>13065.34200000169</v>
      </c>
      <c r="R18" s="107" t="s">
        <v>84</v>
      </c>
    </row>
    <row r="19" spans="2:18" x14ac:dyDescent="0.2">
      <c r="B19" s="48">
        <v>6</v>
      </c>
      <c r="C19" s="51" t="s">
        <v>82</v>
      </c>
      <c r="D19" s="144">
        <f>E$7*8^(B19^2-B$7^2)</f>
        <v>1.3844281427319018E+22</v>
      </c>
      <c r="E19" s="64">
        <v>5365424</v>
      </c>
      <c r="F19" s="145">
        <f>G$7*8^(B19^2-B$7^2)</f>
        <v>1.3201423864954877E+18</v>
      </c>
      <c r="G19" s="137">
        <v>790.78041700995527</v>
      </c>
      <c r="J19" s="48">
        <v>6</v>
      </c>
      <c r="K19" s="51" t="s">
        <v>82</v>
      </c>
      <c r="L19" s="144">
        <f>M$7*8^(J19^2-J$7^2)</f>
        <v>1.3844281427319018E+22</v>
      </c>
      <c r="M19" s="147">
        <v>143000000</v>
      </c>
      <c r="N19" s="145">
        <f>O$7*8^(J19^2-J$7^2)</f>
        <v>1.027444442136576E+18</v>
      </c>
      <c r="O19" s="148">
        <v>20787.520375000899</v>
      </c>
      <c r="R19" s="107" t="s">
        <v>85</v>
      </c>
    </row>
    <row r="20" spans="2:18" x14ac:dyDescent="0.2">
      <c r="B20" s="48">
        <v>7</v>
      </c>
      <c r="C20" s="51" t="s">
        <v>70</v>
      </c>
      <c r="D20" s="144">
        <f>E$5*8^(B20^2-B$5^2)</f>
        <v>1.1271949137229416E+34</v>
      </c>
      <c r="E20" s="64">
        <v>593781</v>
      </c>
      <c r="F20" s="145">
        <f>G$5*8^(B20^2-B$5^2)</f>
        <v>1.1402517181513291E+30</v>
      </c>
      <c r="G20" s="137">
        <v>129.39395800640341</v>
      </c>
      <c r="J20" s="48">
        <v>7</v>
      </c>
      <c r="K20" s="51" t="s">
        <v>70</v>
      </c>
      <c r="L20" s="144">
        <f>M$5*8^(J20^2-J$5^2)</f>
        <v>1.1271949137229416E+34</v>
      </c>
      <c r="M20" s="147">
        <v>75000000</v>
      </c>
      <c r="N20" s="145">
        <f>O$5*8^(J20^2-J$5^2)</f>
        <v>9.6367875523139041E+29</v>
      </c>
      <c r="O20" s="148">
        <v>13044.871000005511</v>
      </c>
      <c r="R20" s="107" t="s">
        <v>86</v>
      </c>
    </row>
    <row r="21" spans="2:18" ht="15.75" customHeight="1" thickBot="1" x14ac:dyDescent="0.25">
      <c r="B21" s="49">
        <v>8</v>
      </c>
      <c r="C21" s="52" t="s">
        <v>70</v>
      </c>
      <c r="D21" s="155">
        <f>E$5*8^(B21^2-B$5^2)</f>
        <v>3.965964526106686E+47</v>
      </c>
      <c r="E21" s="156">
        <v>412000011</v>
      </c>
      <c r="F21" s="157">
        <f>G$5*8^(B21^2-B$5^2)</f>
        <v>4.0119040726366358E+43</v>
      </c>
      <c r="G21" s="158">
        <v>120096.19608300269</v>
      </c>
      <c r="J21" s="49">
        <v>8</v>
      </c>
      <c r="K21" s="52" t="s">
        <v>70</v>
      </c>
      <c r="L21" s="155">
        <f>M$5*8^(J21^2-J$5^2)</f>
        <v>3.965964526106686E+47</v>
      </c>
      <c r="M21" s="156">
        <v>54000000</v>
      </c>
      <c r="N21" s="157">
        <f>O$5*8^(J21^2-J$5^2)</f>
        <v>3.3906431898163697E+43</v>
      </c>
      <c r="O21" s="158">
        <v>9415.4975830024341</v>
      </c>
    </row>
    <row r="23" spans="2:18" ht="19" x14ac:dyDescent="0.25">
      <c r="B23" s="129" t="s">
        <v>87</v>
      </c>
    </row>
    <row r="24" spans="2:18" ht="45" customHeight="1" x14ac:dyDescent="0.2">
      <c r="B24" s="159" t="s">
        <v>62</v>
      </c>
      <c r="C24" s="160" t="s">
        <v>63</v>
      </c>
      <c r="D24" s="160" t="s">
        <v>88</v>
      </c>
      <c r="E24" s="160" t="s">
        <v>89</v>
      </c>
      <c r="F24" s="160" t="s">
        <v>90</v>
      </c>
      <c r="G24" s="160" t="s">
        <v>91</v>
      </c>
      <c r="H24" s="160" t="s">
        <v>92</v>
      </c>
      <c r="I24" s="161" t="s">
        <v>93</v>
      </c>
    </row>
    <row r="25" spans="2:18" ht="16" x14ac:dyDescent="0.2">
      <c r="B25" s="162">
        <f t="shared" ref="B25:C41" si="0">B5</f>
        <v>4</v>
      </c>
      <c r="C25" s="110" t="str">
        <f t="shared" si="0"/>
        <v>0,0</v>
      </c>
      <c r="D25" s="110" t="s">
        <v>94</v>
      </c>
      <c r="E25" s="110" t="s">
        <v>71</v>
      </c>
      <c r="F25" s="110" t="s">
        <v>71</v>
      </c>
      <c r="G25" s="110" t="s">
        <v>94</v>
      </c>
      <c r="H25" s="110" t="s">
        <v>71</v>
      </c>
      <c r="I25" s="163" t="s">
        <v>71</v>
      </c>
    </row>
    <row r="26" spans="2:18" ht="16" x14ac:dyDescent="0.2">
      <c r="B26" s="162">
        <f t="shared" si="0"/>
        <v>4</v>
      </c>
      <c r="C26" s="110" t="str">
        <f t="shared" si="0"/>
        <v>1,0</v>
      </c>
      <c r="D26" s="110" t="s">
        <v>94</v>
      </c>
      <c r="E26" s="110" t="s">
        <v>71</v>
      </c>
      <c r="F26" s="110" t="s">
        <v>71</v>
      </c>
      <c r="G26" s="110" t="s">
        <v>94</v>
      </c>
      <c r="H26" s="110" t="s">
        <v>71</v>
      </c>
      <c r="I26" s="163" t="s">
        <v>71</v>
      </c>
    </row>
    <row r="27" spans="2:18" ht="16" x14ac:dyDescent="0.2">
      <c r="B27" s="162">
        <f t="shared" si="0"/>
        <v>4</v>
      </c>
      <c r="C27" s="110" t="str">
        <f t="shared" si="0"/>
        <v>1,1</v>
      </c>
      <c r="D27" s="110" t="s">
        <v>94</v>
      </c>
      <c r="E27" s="110" t="s">
        <v>71</v>
      </c>
      <c r="F27" s="110" t="s">
        <v>71</v>
      </c>
      <c r="G27" s="110" t="s">
        <v>94</v>
      </c>
      <c r="H27" s="110" t="s">
        <v>71</v>
      </c>
      <c r="I27" s="163" t="s">
        <v>71</v>
      </c>
    </row>
    <row r="28" spans="2:18" ht="16" x14ac:dyDescent="0.2">
      <c r="B28" s="162">
        <f t="shared" si="0"/>
        <v>5</v>
      </c>
      <c r="C28" s="110" t="str">
        <f t="shared" si="0"/>
        <v>0,0</v>
      </c>
      <c r="D28" s="110" t="s">
        <v>95</v>
      </c>
      <c r="E28" s="164">
        <f t="shared" ref="E28:E41" si="1">D8/E8</f>
        <v>5814288.1234702626</v>
      </c>
      <c r="F28" s="164">
        <f t="shared" ref="F28:F41" si="2">F8/G8</f>
        <v>4901599.5086270086</v>
      </c>
      <c r="G28" s="110" t="s">
        <v>95</v>
      </c>
      <c r="H28" s="164">
        <f t="shared" ref="H28:H41" si="3">L8/M8</f>
        <v>171991.18579873472</v>
      </c>
      <c r="I28" s="165">
        <f t="shared" ref="I28:I41" si="4">N8/O8</f>
        <v>122938.6678575187</v>
      </c>
    </row>
    <row r="29" spans="2:18" ht="16" x14ac:dyDescent="0.2">
      <c r="B29" s="162">
        <f t="shared" si="0"/>
        <v>5</v>
      </c>
      <c r="C29" s="110" t="str">
        <f t="shared" si="0"/>
        <v>1,0</v>
      </c>
      <c r="D29" s="110" t="s">
        <v>94</v>
      </c>
      <c r="E29" s="164">
        <f t="shared" si="1"/>
        <v>138295.34988392502</v>
      </c>
      <c r="F29" s="164">
        <f t="shared" si="2"/>
        <v>117145.57437417585</v>
      </c>
      <c r="G29" s="110" t="s">
        <v>94</v>
      </c>
      <c r="H29" s="164">
        <f t="shared" si="3"/>
        <v>138295.34988392502</v>
      </c>
      <c r="I29" s="165">
        <f t="shared" si="4"/>
        <v>89203.017710275133</v>
      </c>
    </row>
    <row r="30" spans="2:18" ht="16" x14ac:dyDescent="0.2">
      <c r="B30" s="162">
        <f t="shared" si="0"/>
        <v>5</v>
      </c>
      <c r="C30" s="110" t="str">
        <f t="shared" si="0"/>
        <v>2,0</v>
      </c>
      <c r="D30" s="110" t="s">
        <v>95</v>
      </c>
      <c r="E30" s="164">
        <f t="shared" si="1"/>
        <v>6515822.213122406</v>
      </c>
      <c r="F30" s="164">
        <f t="shared" si="2"/>
        <v>5428856.9798791753</v>
      </c>
      <c r="G30" s="110" t="s">
        <v>95</v>
      </c>
      <c r="H30" s="164">
        <f t="shared" si="3"/>
        <v>174011.05641043981</v>
      </c>
      <c r="I30" s="165">
        <f t="shared" si="4"/>
        <v>114746.74017153506</v>
      </c>
    </row>
    <row r="31" spans="2:18" ht="16" x14ac:dyDescent="0.2">
      <c r="B31" s="162">
        <f t="shared" si="0"/>
        <v>5</v>
      </c>
      <c r="C31" s="110" t="str">
        <f t="shared" si="0"/>
        <v>1,1</v>
      </c>
      <c r="D31" s="110" t="s">
        <v>95</v>
      </c>
      <c r="E31" s="164">
        <f t="shared" si="1"/>
        <v>321076.10861017922</v>
      </c>
      <c r="F31" s="164">
        <f t="shared" si="2"/>
        <v>276654.9327146557</v>
      </c>
      <c r="G31" s="110" t="s">
        <v>95</v>
      </c>
      <c r="H31" s="164">
        <f t="shared" si="3"/>
        <v>137476.40420602681</v>
      </c>
      <c r="I31" s="165">
        <f t="shared" si="4"/>
        <v>88902.362312847559</v>
      </c>
    </row>
    <row r="32" spans="2:18" ht="16" x14ac:dyDescent="0.2">
      <c r="B32" s="162">
        <f t="shared" si="0"/>
        <v>5</v>
      </c>
      <c r="C32" s="110" t="str">
        <f t="shared" si="0"/>
        <v>2,1</v>
      </c>
      <c r="D32" s="110" t="s">
        <v>94</v>
      </c>
      <c r="E32" s="164">
        <f t="shared" si="1"/>
        <v>195803.46034816059</v>
      </c>
      <c r="F32" s="164">
        <f t="shared" si="2"/>
        <v>165394.0295513375</v>
      </c>
      <c r="G32" s="110" t="s">
        <v>94</v>
      </c>
      <c r="H32" s="164">
        <f t="shared" si="3"/>
        <v>195803.46034816059</v>
      </c>
      <c r="I32" s="165">
        <f t="shared" si="4"/>
        <v>120135.47271806205</v>
      </c>
    </row>
    <row r="33" spans="2:9" ht="16" x14ac:dyDescent="0.2">
      <c r="B33" s="162">
        <f t="shared" si="0"/>
        <v>5</v>
      </c>
      <c r="C33" s="110" t="str">
        <f t="shared" si="0"/>
        <v>2,2</v>
      </c>
      <c r="D33" s="110" t="s">
        <v>95</v>
      </c>
      <c r="E33" s="164">
        <f t="shared" si="1"/>
        <v>5680693.087112681</v>
      </c>
      <c r="F33" s="164">
        <f t="shared" si="2"/>
        <v>5008888.5053537069</v>
      </c>
      <c r="G33" s="110" t="s">
        <v>95</v>
      </c>
      <c r="H33" s="164">
        <f t="shared" si="3"/>
        <v>314040.10476482939</v>
      </c>
      <c r="I33" s="165">
        <f t="shared" si="4"/>
        <v>192636.8118120193</v>
      </c>
    </row>
    <row r="34" spans="2:9" ht="16" x14ac:dyDescent="0.2">
      <c r="B34" s="162">
        <f t="shared" si="0"/>
        <v>6</v>
      </c>
      <c r="C34" s="110" t="str">
        <f t="shared" si="0"/>
        <v>0,0</v>
      </c>
      <c r="D34" s="110" t="s">
        <v>95</v>
      </c>
      <c r="E34" s="164">
        <f t="shared" si="1"/>
        <v>1.6051433996151586E+16</v>
      </c>
      <c r="F34" s="164">
        <f t="shared" si="2"/>
        <v>1.017376204625564E+16</v>
      </c>
      <c r="G34" s="110" t="s">
        <v>96</v>
      </c>
      <c r="H34" s="166">
        <f t="shared" si="3"/>
        <v>178291791634157.97</v>
      </c>
      <c r="I34" s="167">
        <f t="shared" si="4"/>
        <v>95195144117972.359</v>
      </c>
    </row>
    <row r="35" spans="2:9" ht="16" x14ac:dyDescent="0.2">
      <c r="B35" s="162">
        <f t="shared" si="0"/>
        <v>6</v>
      </c>
      <c r="C35" s="110" t="str">
        <f t="shared" si="0"/>
        <v>1,0</v>
      </c>
      <c r="D35" s="110" t="s">
        <v>96</v>
      </c>
      <c r="E35" s="166">
        <f t="shared" si="1"/>
        <v>22997428376349.355</v>
      </c>
      <c r="F35" s="166">
        <f t="shared" si="2"/>
        <v>14114048389893.863</v>
      </c>
      <c r="G35" s="110" t="s">
        <v>96</v>
      </c>
      <c r="H35" s="166">
        <f t="shared" si="3"/>
        <v>214642670240385.84</v>
      </c>
      <c r="I35" s="167">
        <f t="shared" si="4"/>
        <v>112811490711575.67</v>
      </c>
    </row>
    <row r="36" spans="2:9" ht="16" x14ac:dyDescent="0.2">
      <c r="B36" s="162">
        <f t="shared" si="0"/>
        <v>6</v>
      </c>
      <c r="C36" s="110" t="str">
        <f t="shared" si="0"/>
        <v>2,0</v>
      </c>
      <c r="D36" s="110" t="s">
        <v>95</v>
      </c>
      <c r="E36" s="164">
        <f t="shared" si="1"/>
        <v>8.4554305463822848E+16</v>
      </c>
      <c r="F36" s="164">
        <f t="shared" si="2"/>
        <v>4.9977692786650192E+16</v>
      </c>
      <c r="G36" s="110" t="s">
        <v>96</v>
      </c>
      <c r="H36" s="166">
        <f t="shared" si="3"/>
        <v>206976860588943.47</v>
      </c>
      <c r="I36" s="167">
        <f t="shared" si="4"/>
        <v>109459047887357.36</v>
      </c>
    </row>
    <row r="37" spans="2:9" ht="16" x14ac:dyDescent="0.2">
      <c r="B37" s="162">
        <f t="shared" si="0"/>
        <v>6</v>
      </c>
      <c r="C37" s="110" t="str">
        <f t="shared" si="0"/>
        <v>1,1</v>
      </c>
      <c r="D37" s="110" t="s">
        <v>95</v>
      </c>
      <c r="E37" s="164">
        <f t="shared" si="1"/>
        <v>968905744360425.25</v>
      </c>
      <c r="F37" s="164">
        <f t="shared" si="2"/>
        <v>618486855922887.75</v>
      </c>
      <c r="G37" s="110" t="s">
        <v>96</v>
      </c>
      <c r="H37" s="166">
        <f t="shared" si="3"/>
        <v>160980016596732.78</v>
      </c>
      <c r="I37" s="167">
        <f t="shared" si="4"/>
        <v>84705081765377.094</v>
      </c>
    </row>
    <row r="38" spans="2:9" ht="16" x14ac:dyDescent="0.2">
      <c r="B38" s="162">
        <f t="shared" si="0"/>
        <v>6</v>
      </c>
      <c r="C38" s="110" t="str">
        <f t="shared" si="0"/>
        <v>2,1</v>
      </c>
      <c r="D38" s="110" t="s">
        <v>96</v>
      </c>
      <c r="E38" s="166">
        <f t="shared" si="1"/>
        <v>17681074574657.559</v>
      </c>
      <c r="F38" s="166">
        <f t="shared" si="2"/>
        <v>10993707618755.695</v>
      </c>
      <c r="G38" s="110" t="s">
        <v>96</v>
      </c>
      <c r="H38" s="166">
        <f t="shared" si="3"/>
        <v>159129671578379.53</v>
      </c>
      <c r="I38" s="167">
        <f t="shared" si="4"/>
        <v>78638924425892.797</v>
      </c>
    </row>
    <row r="39" spans="2:9" ht="16" x14ac:dyDescent="0.2">
      <c r="B39" s="162">
        <f t="shared" si="0"/>
        <v>6</v>
      </c>
      <c r="C39" s="110" t="str">
        <f t="shared" si="0"/>
        <v>2,2</v>
      </c>
      <c r="D39" s="110" t="s">
        <v>95</v>
      </c>
      <c r="E39" s="164">
        <f t="shared" si="1"/>
        <v>2580277239472410.5</v>
      </c>
      <c r="F39" s="164">
        <f t="shared" si="2"/>
        <v>1669417145516981.5</v>
      </c>
      <c r="G39" s="110" t="s">
        <v>96</v>
      </c>
      <c r="H39" s="166">
        <f t="shared" si="3"/>
        <v>96813156834398.734</v>
      </c>
      <c r="I39" s="167">
        <f t="shared" si="4"/>
        <v>49426022132595.578</v>
      </c>
    </row>
    <row r="40" spans="2:9" ht="16" x14ac:dyDescent="0.2">
      <c r="B40" s="162">
        <f t="shared" si="0"/>
        <v>7</v>
      </c>
      <c r="C40" s="110" t="str">
        <f t="shared" si="0"/>
        <v>0,0</v>
      </c>
      <c r="D40" s="110" t="s">
        <v>95</v>
      </c>
      <c r="E40" s="164">
        <f t="shared" si="1"/>
        <v>1.8983344258622988E+28</v>
      </c>
      <c r="F40" s="164">
        <f t="shared" si="2"/>
        <v>8.8122485448269591E+27</v>
      </c>
      <c r="G40" s="110" t="s">
        <v>96</v>
      </c>
      <c r="H40" s="166">
        <f t="shared" si="3"/>
        <v>1.5029265516305888E+26</v>
      </c>
      <c r="I40" s="167">
        <f t="shared" si="4"/>
        <v>7.3874149865566574E+25</v>
      </c>
    </row>
    <row r="41" spans="2:9" ht="16" x14ac:dyDescent="0.2">
      <c r="B41" s="168">
        <f t="shared" si="0"/>
        <v>8</v>
      </c>
      <c r="C41" s="169" t="str">
        <f t="shared" si="0"/>
        <v>0,0</v>
      </c>
      <c r="D41" s="169" t="s">
        <v>96</v>
      </c>
      <c r="E41" s="170">
        <f t="shared" si="1"/>
        <v>9.6261272335419568E+38</v>
      </c>
      <c r="F41" s="170">
        <f t="shared" si="2"/>
        <v>3.3405754749000277E+38</v>
      </c>
      <c r="G41" s="169" t="s">
        <v>96</v>
      </c>
      <c r="H41" s="170">
        <f t="shared" si="3"/>
        <v>7.3443787520494186E+39</v>
      </c>
      <c r="I41" s="171">
        <f t="shared" si="4"/>
        <v>3.60113011545711E+39</v>
      </c>
    </row>
    <row r="42" spans="2:9" x14ac:dyDescent="0.2">
      <c r="B42" s="107" t="s">
        <v>97</v>
      </c>
    </row>
    <row r="43" spans="2:9" x14ac:dyDescent="0.2">
      <c r="B43" s="107" t="s">
        <v>98</v>
      </c>
    </row>
    <row r="44" spans="2:9" x14ac:dyDescent="0.2">
      <c r="B44" s="107" t="s">
        <v>99</v>
      </c>
    </row>
    <row r="46" spans="2:9" ht="16" x14ac:dyDescent="0.2">
      <c r="B46" s="172" t="s">
        <v>100</v>
      </c>
      <c r="C46" s="107" t="s">
        <v>101</v>
      </c>
    </row>
  </sheetData>
  <mergeCells count="16">
    <mergeCell ref="F3:G3"/>
    <mergeCell ref="B2:G2"/>
    <mergeCell ref="L3:M3"/>
    <mergeCell ref="N3:O3"/>
    <mergeCell ref="R2:W2"/>
    <mergeCell ref="J2:O2"/>
    <mergeCell ref="K3:K4"/>
    <mergeCell ref="C3:C4"/>
    <mergeCell ref="B3:B4"/>
    <mergeCell ref="V3:V4"/>
    <mergeCell ref="R3:R4"/>
    <mergeCell ref="J3:J4"/>
    <mergeCell ref="S3:S4"/>
    <mergeCell ref="W3:W4"/>
    <mergeCell ref="D3:E3"/>
    <mergeCell ref="T3:U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7"/>
  <sheetViews>
    <sheetView topLeftCell="A4" zoomScale="90" zoomScaleNormal="55" workbookViewId="0">
      <selection activeCell="Z24" sqref="Z24"/>
    </sheetView>
  </sheetViews>
  <sheetFormatPr baseColWidth="10" defaultColWidth="8.83203125" defaultRowHeight="15" x14ac:dyDescent="0.2"/>
  <cols>
    <col min="23" max="23" width="30" customWidth="1"/>
    <col min="24" max="30" width="15" customWidth="1"/>
  </cols>
  <sheetData>
    <row r="1" spans="1:26" ht="19" x14ac:dyDescent="0.25">
      <c r="A1" s="129" t="s">
        <v>102</v>
      </c>
      <c r="W1" s="129" t="s">
        <v>103</v>
      </c>
    </row>
    <row r="2" spans="1:26" x14ac:dyDescent="0.2">
      <c r="A2" s="102" t="s">
        <v>104</v>
      </c>
    </row>
    <row r="3" spans="1:26" x14ac:dyDescent="0.2">
      <c r="W3" s="102" t="s">
        <v>105</v>
      </c>
    </row>
    <row r="4" spans="1:26" ht="16" x14ac:dyDescent="0.2">
      <c r="W4" s="173" t="s">
        <v>106</v>
      </c>
      <c r="X4" s="104" t="s">
        <v>107</v>
      </c>
      <c r="Y4" s="104" t="s">
        <v>108</v>
      </c>
    </row>
    <row r="5" spans="1:26" x14ac:dyDescent="0.2">
      <c r="W5" s="108" t="s">
        <v>109</v>
      </c>
      <c r="X5" s="174">
        <f>'Tabuľka 1 Search'!H7</f>
        <v>126.77265400125179</v>
      </c>
      <c r="Y5" s="174">
        <f>'Tabuľka 1 Search'!M7</f>
        <v>4.7825564656199682E-3</v>
      </c>
    </row>
    <row r="6" spans="1:26" x14ac:dyDescent="0.2">
      <c r="W6" s="108" t="s">
        <v>110</v>
      </c>
      <c r="X6" s="174">
        <f>'Tabuľka 1 Search'!H19</f>
        <v>1267.7265400125179</v>
      </c>
      <c r="Y6" s="174">
        <f>'Tabuľka 1 Search'!M19</f>
        <v>5.4657788178513918E-3</v>
      </c>
    </row>
    <row r="7" spans="1:26" x14ac:dyDescent="0.2">
      <c r="W7" s="108" t="s">
        <v>111</v>
      </c>
      <c r="X7" s="174">
        <f>'Tabuľka 1 Search'!H24</f>
        <v>2130.6141083012335</v>
      </c>
      <c r="Y7" s="174">
        <f>'Tabuľka 1 Search'!M24</f>
        <v>3.576249728212133E-2</v>
      </c>
    </row>
    <row r="9" spans="1:26" ht="16" x14ac:dyDescent="0.2">
      <c r="W9" s="173" t="s">
        <v>5</v>
      </c>
      <c r="X9" s="104" t="s">
        <v>107</v>
      </c>
      <c r="Y9" s="104" t="s">
        <v>108</v>
      </c>
    </row>
    <row r="10" spans="1:26" x14ac:dyDescent="0.2">
      <c r="W10" s="108" t="s">
        <v>109</v>
      </c>
      <c r="X10" s="175">
        <f>'Tabuľka 1 Search'!I7</f>
        <v>8226390.5</v>
      </c>
      <c r="Y10" s="175">
        <f>'Tabuľka 1 Search'!N7</f>
        <v>46</v>
      </c>
    </row>
    <row r="11" spans="1:26" x14ac:dyDescent="0.2">
      <c r="W11" s="108" t="s">
        <v>110</v>
      </c>
      <c r="X11" s="175">
        <f>'Tabuľka 1 Search'!I19</f>
        <v>82263905</v>
      </c>
      <c r="Y11" s="175">
        <f>'Tabuľka 1 Search'!N19</f>
        <v>52.571428571428569</v>
      </c>
    </row>
    <row r="12" spans="1:26" x14ac:dyDescent="0.2">
      <c r="W12" s="108" t="s">
        <v>111</v>
      </c>
      <c r="X12" s="175">
        <f>'Tabuľka 1 Search'!I24</f>
        <v>96884327.599999994</v>
      </c>
      <c r="Y12" s="175">
        <f>'Tabuľka 1 Search'!N24</f>
        <v>53.1</v>
      </c>
    </row>
    <row r="14" spans="1:26" x14ac:dyDescent="0.2">
      <c r="W14" s="102" t="s">
        <v>112</v>
      </c>
    </row>
    <row r="15" spans="1:26" ht="16" x14ac:dyDescent="0.2">
      <c r="W15" s="173" t="s">
        <v>113</v>
      </c>
      <c r="X15" s="104" t="s">
        <v>39</v>
      </c>
      <c r="Y15" s="104" t="s">
        <v>44</v>
      </c>
      <c r="Z15" s="104" t="s">
        <v>47</v>
      </c>
    </row>
    <row r="16" spans="1:26" x14ac:dyDescent="0.2">
      <c r="W16" s="108" t="s">
        <v>114</v>
      </c>
      <c r="X16" s="176">
        <f>'Tabuľka 2 Sort'!I6</f>
        <v>1729.7121920040813</v>
      </c>
      <c r="Y16" s="176">
        <f>'Tabuľka 2 Sort'!I10</f>
        <v>6.0875750001287088</v>
      </c>
      <c r="Z16" s="176">
        <f>'Tabuľka 2 Sort'!I12</f>
        <v>3.8194415945326909</v>
      </c>
    </row>
    <row r="17" spans="1:27" x14ac:dyDescent="0.2">
      <c r="W17" s="108" t="s">
        <v>115</v>
      </c>
      <c r="X17" s="176">
        <f>'Tabuľka 2 Sort'!D18</f>
        <v>6918.8487680163253</v>
      </c>
      <c r="Y17" s="176">
        <f>'Tabuľka 2 Sort'!D22</f>
        <v>13.091421338203871</v>
      </c>
      <c r="Z17" s="176">
        <f>'Tabuľka 2 Sort'!D24</f>
        <v>7.6388831890653819</v>
      </c>
    </row>
    <row r="18" spans="1:27" x14ac:dyDescent="0.2">
      <c r="W18" s="108" t="s">
        <v>116</v>
      </c>
      <c r="X18" s="176">
        <f>'Tabuľka 2 Sort'!J18</f>
        <v>6992.2205000038957</v>
      </c>
      <c r="Y18" s="176">
        <f>'Tabuľka 2 Sort'!J22</f>
        <v>12.867233200813644</v>
      </c>
      <c r="Z18" s="176">
        <f>'Tabuľka 2 Sort'!J24</f>
        <v>7.7304499980527908</v>
      </c>
    </row>
    <row r="20" spans="1:27" ht="16" x14ac:dyDescent="0.2">
      <c r="W20" s="173" t="s">
        <v>5</v>
      </c>
      <c r="X20" s="104" t="s">
        <v>39</v>
      </c>
      <c r="Y20" s="104" t="s">
        <v>44</v>
      </c>
      <c r="Z20" s="104" t="s">
        <v>47</v>
      </c>
    </row>
    <row r="21" spans="1:27" x14ac:dyDescent="0.2">
      <c r="A21" s="102" t="s">
        <v>117</v>
      </c>
      <c r="W21" s="108" t="s">
        <v>114</v>
      </c>
      <c r="X21" s="177">
        <f>'Tabuľka 2 Sort'!O6</f>
        <v>49995000</v>
      </c>
      <c r="Y21" s="177">
        <f>'Tabuľka 2 Sort'!O10</f>
        <v>244524.79999999999</v>
      </c>
      <c r="Z21" s="177">
        <f>'Tabuľka 2 Sort'!O12</f>
        <v>10005</v>
      </c>
    </row>
    <row r="22" spans="1:27" x14ac:dyDescent="0.2">
      <c r="W22" s="108" t="s">
        <v>115</v>
      </c>
      <c r="X22" s="177">
        <f>'Tabuľka 2 Sort'!K18</f>
        <v>199980000</v>
      </c>
      <c r="Y22" s="177">
        <f>'Tabuľka 2 Sort'!K22</f>
        <v>525854.249741868</v>
      </c>
      <c r="Z22" s="177">
        <f>'Tabuľka 2 Sort'!K24</f>
        <v>20010</v>
      </c>
    </row>
    <row r="23" spans="1:27" x14ac:dyDescent="0.2">
      <c r="W23" s="108" t="s">
        <v>116</v>
      </c>
      <c r="X23" s="177">
        <f>'Tabuľka 2 Sort'!Q18</f>
        <v>199990000</v>
      </c>
      <c r="Y23" s="177">
        <f>'Tabuľka 2 Sort'!Q22</f>
        <v>532476.19999999995</v>
      </c>
      <c r="Z23" s="177">
        <f>'Tabuľka 2 Sort'!Q24</f>
        <v>20005</v>
      </c>
    </row>
    <row r="25" spans="1:27" ht="16" x14ac:dyDescent="0.2">
      <c r="W25" s="173" t="s">
        <v>35</v>
      </c>
      <c r="X25" s="104" t="s">
        <v>39</v>
      </c>
      <c r="Y25" s="104" t="s">
        <v>44</v>
      </c>
      <c r="Z25" s="104" t="s">
        <v>47</v>
      </c>
    </row>
    <row r="26" spans="1:27" x14ac:dyDescent="0.2">
      <c r="W26" s="108" t="s">
        <v>114</v>
      </c>
      <c r="X26" s="177">
        <f>'Tabuľka 2 Sort'!U6</f>
        <v>49989918.399999999</v>
      </c>
      <c r="Y26" s="177">
        <f>'Tabuľka 2 Sort'!U10</f>
        <v>321666</v>
      </c>
      <c r="Z26" s="177">
        <f>'Tabuľka 2 Sort'!U12</f>
        <v>50000</v>
      </c>
    </row>
    <row r="27" spans="1:27" x14ac:dyDescent="0.2">
      <c r="W27" s="108" t="s">
        <v>115</v>
      </c>
      <c r="X27" s="177">
        <f>'Tabuľka 2 Sort'!R18</f>
        <v>199959673.59999999</v>
      </c>
      <c r="Y27" s="177">
        <f>'Tabuľka 2 Sort'!R22</f>
        <v>691747.55729262508</v>
      </c>
      <c r="Z27" s="177">
        <f>'Tabuľka 2 Sort'!R24</f>
        <v>100000</v>
      </c>
    </row>
    <row r="28" spans="1:27" x14ac:dyDescent="0.2">
      <c r="W28" s="108" t="s">
        <v>116</v>
      </c>
      <c r="X28" s="177">
        <f>'Tabuľka 2 Sort'!X18</f>
        <v>200526460.40000001</v>
      </c>
      <c r="Y28" s="177">
        <f>'Tabuľka 2 Sort'!X22</f>
        <v>696585.6</v>
      </c>
      <c r="Z28" s="177">
        <f>'Tabuľka 2 Sort'!X24</f>
        <v>100000</v>
      </c>
    </row>
    <row r="30" spans="1:27" x14ac:dyDescent="0.2">
      <c r="W30" s="102" t="s">
        <v>118</v>
      </c>
    </row>
    <row r="31" spans="1:27" ht="16" x14ac:dyDescent="0.2">
      <c r="W31" s="173" t="s">
        <v>119</v>
      </c>
      <c r="X31" s="104" t="s">
        <v>120</v>
      </c>
      <c r="Y31" s="104" t="s">
        <v>121</v>
      </c>
      <c r="Z31" s="104" t="s">
        <v>122</v>
      </c>
      <c r="AA31" s="104" t="s">
        <v>123</v>
      </c>
    </row>
    <row r="32" spans="1:27" x14ac:dyDescent="0.2">
      <c r="W32" s="108" t="s">
        <v>124</v>
      </c>
      <c r="X32" s="178"/>
      <c r="Y32" s="178">
        <f>'Tabuľka 3 BFS,DFS'!E5</f>
        <v>17784</v>
      </c>
      <c r="Z32" s="178"/>
      <c r="AA32" s="178">
        <f>'Tabuľka 3 BFS,DFS'!M5</f>
        <v>17784</v>
      </c>
    </row>
    <row r="33" spans="23:27" x14ac:dyDescent="0.2">
      <c r="W33" s="108" t="s">
        <v>125</v>
      </c>
      <c r="X33" s="178"/>
      <c r="Y33" s="178">
        <f>'Tabuľka 3 BFS,DFS'!E6</f>
        <v>15080</v>
      </c>
      <c r="Z33" s="178"/>
      <c r="AA33" s="178">
        <f>'Tabuľka 3 BFS,DFS'!M6</f>
        <v>15080</v>
      </c>
    </row>
    <row r="34" spans="23:27" x14ac:dyDescent="0.2">
      <c r="W34" s="108" t="s">
        <v>126</v>
      </c>
      <c r="X34" s="178"/>
      <c r="Y34" s="178">
        <f>'Tabuľka 3 BFS,DFS'!E7</f>
        <v>12008</v>
      </c>
      <c r="Z34" s="178"/>
      <c r="AA34" s="178">
        <f>'Tabuľka 3 BFS,DFS'!M7</f>
        <v>12008</v>
      </c>
    </row>
    <row r="35" spans="23:27" x14ac:dyDescent="0.2">
      <c r="W35" s="108" t="s">
        <v>127</v>
      </c>
      <c r="X35" s="178">
        <f>'Tabuľka 3 BFS,DFS'!D8</f>
        <v>2386928074752</v>
      </c>
      <c r="Y35" s="178">
        <f>'Tabuľka 3 BFS,DFS'!E8</f>
        <v>410528</v>
      </c>
      <c r="Z35" s="178">
        <f>'Tabuľka 3 BFS,DFS'!L8</f>
        <v>2386928074752</v>
      </c>
      <c r="AA35" s="178">
        <f>'Tabuľka 3 BFS,DFS'!M8</f>
        <v>13878200</v>
      </c>
    </row>
    <row r="36" spans="23:27" x14ac:dyDescent="0.2">
      <c r="W36" s="108" t="s">
        <v>128</v>
      </c>
      <c r="X36" s="178">
        <f>'Tabuľka 3 BFS,DFS'!D9</f>
        <v>2024003338240</v>
      </c>
      <c r="Y36" s="178">
        <f>'Tabuľka 3 BFS,DFS'!E9</f>
        <v>14635368</v>
      </c>
      <c r="Z36" s="178">
        <f>'Tabuľka 3 BFS,DFS'!L9</f>
        <v>2024003338240</v>
      </c>
      <c r="AA36" s="178">
        <f>'Tabuľka 3 BFS,DFS'!M9</f>
        <v>14635368</v>
      </c>
    </row>
    <row r="37" spans="23:27" x14ac:dyDescent="0.2">
      <c r="W37" s="108" t="s">
        <v>129</v>
      </c>
      <c r="X37" s="178">
        <f>'Tabuľka 3 BFS,DFS'!D10</f>
        <v>2024003338240</v>
      </c>
      <c r="Y37" s="178">
        <f>'Tabuľka 3 BFS,DFS'!E10</f>
        <v>310629</v>
      </c>
      <c r="Z37" s="178">
        <f>'Tabuľka 3 BFS,DFS'!L10</f>
        <v>2024003338240</v>
      </c>
      <c r="AA37" s="178">
        <f>'Tabuľka 3 BFS,DFS'!M10</f>
        <v>11631464</v>
      </c>
    </row>
    <row r="38" spans="23:27" x14ac:dyDescent="0.2">
      <c r="W38" s="108" t="s">
        <v>130</v>
      </c>
      <c r="X38" s="178">
        <f>'Tabuľka 3 BFS,DFS'!D11</f>
        <v>1611686477824</v>
      </c>
      <c r="Y38" s="178">
        <f>'Tabuľka 3 BFS,DFS'!E11</f>
        <v>5019640</v>
      </c>
      <c r="Z38" s="178">
        <f>'Tabuľka 3 BFS,DFS'!L11</f>
        <v>1611686477824</v>
      </c>
      <c r="AA38" s="178">
        <f>'Tabuľka 3 BFS,DFS'!M11</f>
        <v>11723368</v>
      </c>
    </row>
    <row r="39" spans="23:27" x14ac:dyDescent="0.2">
      <c r="W39" s="108" t="s">
        <v>131</v>
      </c>
      <c r="X39" s="178">
        <f>'Tabuľka 3 BFS,DFS'!D12</f>
        <v>1611686477824</v>
      </c>
      <c r="Y39" s="178">
        <f>'Tabuľka 3 BFS,DFS'!E12</f>
        <v>8231144</v>
      </c>
      <c r="Z39" s="178">
        <f>'Tabuľka 3 BFS,DFS'!L12</f>
        <v>1611686477824</v>
      </c>
      <c r="AA39" s="178">
        <f>'Tabuľka 3 BFS,DFS'!M12</f>
        <v>8231144</v>
      </c>
    </row>
    <row r="40" spans="23:27" x14ac:dyDescent="0.2">
      <c r="W40" s="108" t="s">
        <v>132</v>
      </c>
      <c r="X40" s="178">
        <f>'Tabuľka 3 BFS,DFS'!D13</f>
        <v>1611686477824</v>
      </c>
      <c r="Y40" s="178">
        <f>'Tabuľka 3 BFS,DFS'!E13</f>
        <v>283713</v>
      </c>
      <c r="Z40" s="178">
        <f>'Tabuľka 3 BFS,DFS'!L13</f>
        <v>1611686477824</v>
      </c>
      <c r="AA40" s="178">
        <f>'Tabuľka 3 BFS,DFS'!M13</f>
        <v>5132104</v>
      </c>
    </row>
    <row r="41" spans="23:27" x14ac:dyDescent="0.2">
      <c r="W41" s="108" t="s">
        <v>133</v>
      </c>
      <c r="X41" s="178">
        <f>'Tabuľka 3 BFS,DFS'!D14</f>
        <v>2.0503556037928167E+22</v>
      </c>
      <c r="Y41" s="178">
        <f>'Tabuľka 3 BFS,DFS'!E14</f>
        <v>1277366</v>
      </c>
      <c r="Z41" s="178">
        <f>'Tabuľka 3 BFS,DFS'!L14</f>
        <v>2.0503556037928167E+22</v>
      </c>
      <c r="AA41" s="178">
        <f>'Tabuľka 3 BFS,DFS'!M14</f>
        <v>115000000</v>
      </c>
    </row>
    <row r="42" spans="23:27" x14ac:dyDescent="0.2">
      <c r="W42" s="108" t="s">
        <v>134</v>
      </c>
      <c r="X42" s="178">
        <f>'Tabuľka 3 BFS,DFS'!D15</f>
        <v>1.7386056289471252E+22</v>
      </c>
      <c r="Y42" s="178">
        <f>'Tabuľka 3 BFS,DFS'!E15</f>
        <v>756000019</v>
      </c>
      <c r="Z42" s="178">
        <f>'Tabuľka 3 BFS,DFS'!L15</f>
        <v>1.7386056289471252E+22</v>
      </c>
      <c r="AA42" s="178">
        <f>'Tabuľka 3 BFS,DFS'!M15</f>
        <v>81000000</v>
      </c>
    </row>
    <row r="43" spans="23:27" x14ac:dyDescent="0.2">
      <c r="W43" s="108" t="s">
        <v>135</v>
      </c>
      <c r="X43" s="178">
        <f>'Tabuľka 3 BFS,DFS'!D16</f>
        <v>1.7386056289471252E+22</v>
      </c>
      <c r="Y43" s="178">
        <f>'Tabuľka 3 BFS,DFS'!E16</f>
        <v>205620</v>
      </c>
      <c r="Z43" s="178">
        <f>'Tabuľka 3 BFS,DFS'!L16</f>
        <v>1.7386056289471252E+22</v>
      </c>
      <c r="AA43" s="178">
        <f>'Tabuľka 3 BFS,DFS'!M16</f>
        <v>84000000</v>
      </c>
    </row>
    <row r="44" spans="23:27" x14ac:dyDescent="0.2">
      <c r="W44" s="108" t="s">
        <v>136</v>
      </c>
      <c r="X44" s="178">
        <f>'Tabuľka 3 BFS,DFS'!D17</f>
        <v>1.3844281427319018E+22</v>
      </c>
      <c r="Y44" s="178">
        <f>'Tabuľka 3 BFS,DFS'!E17</f>
        <v>14288574</v>
      </c>
      <c r="Z44" s="178">
        <f>'Tabuľka 3 BFS,DFS'!L17</f>
        <v>1.3844281427319018E+22</v>
      </c>
      <c r="AA44" s="178">
        <f>'Tabuľka 3 BFS,DFS'!M17</f>
        <v>86000000</v>
      </c>
    </row>
    <row r="45" spans="23:27" x14ac:dyDescent="0.2">
      <c r="W45" s="108" t="s">
        <v>137</v>
      </c>
      <c r="X45" s="178">
        <f>'Tabuľka 3 BFS,DFS'!D18</f>
        <v>1.3844281427319018E+22</v>
      </c>
      <c r="Y45" s="178">
        <f>'Tabuľka 3 BFS,DFS'!E18</f>
        <v>783000002</v>
      </c>
      <c r="Z45" s="178">
        <f>'Tabuľka 3 BFS,DFS'!L18</f>
        <v>1.3844281427319018E+22</v>
      </c>
      <c r="AA45" s="178">
        <f>'Tabuľka 3 BFS,DFS'!M18</f>
        <v>87000000</v>
      </c>
    </row>
    <row r="46" spans="23:27" x14ac:dyDescent="0.2">
      <c r="W46" s="108" t="s">
        <v>138</v>
      </c>
      <c r="X46" s="178">
        <f>'Tabuľka 3 BFS,DFS'!D19</f>
        <v>1.3844281427319018E+22</v>
      </c>
      <c r="Y46" s="178">
        <f>'Tabuľka 3 BFS,DFS'!E19</f>
        <v>5365424</v>
      </c>
      <c r="Z46" s="178">
        <f>'Tabuľka 3 BFS,DFS'!L19</f>
        <v>1.3844281427319018E+22</v>
      </c>
      <c r="AA46" s="178">
        <f>'Tabuľka 3 BFS,DFS'!M19</f>
        <v>143000000</v>
      </c>
    </row>
    <row r="47" spans="23:27" x14ac:dyDescent="0.2">
      <c r="W47" s="108" t="s">
        <v>139</v>
      </c>
      <c r="X47" s="178">
        <f>'Tabuľka 3 BFS,DFS'!D20</f>
        <v>1.1271949137229416E+34</v>
      </c>
      <c r="Y47" s="178">
        <f>'Tabuľka 3 BFS,DFS'!E20</f>
        <v>593781</v>
      </c>
      <c r="Z47" s="178">
        <f>'Tabuľka 3 BFS,DFS'!L20</f>
        <v>1.1271949137229416E+34</v>
      </c>
      <c r="AA47" s="178">
        <f>'Tabuľka 3 BFS,DFS'!M20</f>
        <v>75000000</v>
      </c>
    </row>
    <row r="48" spans="23:27" x14ac:dyDescent="0.2">
      <c r="W48" s="108" t="s">
        <v>140</v>
      </c>
      <c r="X48" s="178">
        <f>'Tabuľka 3 BFS,DFS'!D21</f>
        <v>3.965964526106686E+47</v>
      </c>
      <c r="Y48" s="178">
        <f>'Tabuľka 3 BFS,DFS'!E21</f>
        <v>412000011</v>
      </c>
      <c r="Z48" s="178">
        <f>'Tabuľka 3 BFS,DFS'!L21</f>
        <v>3.965964526106686E+47</v>
      </c>
      <c r="AA48" s="178">
        <f>'Tabuľka 3 BFS,DFS'!M21</f>
        <v>54000000</v>
      </c>
    </row>
    <row r="50" spans="1:27" ht="16" x14ac:dyDescent="0.2">
      <c r="W50" s="173" t="s">
        <v>141</v>
      </c>
      <c r="X50" s="104" t="s">
        <v>120</v>
      </c>
      <c r="Y50" s="104" t="s">
        <v>121</v>
      </c>
      <c r="Z50" s="104" t="s">
        <v>122</v>
      </c>
      <c r="AA50" s="104" t="s">
        <v>123</v>
      </c>
    </row>
    <row r="51" spans="1:27" x14ac:dyDescent="0.2">
      <c r="W51" s="108" t="s">
        <v>124</v>
      </c>
      <c r="X51" s="178"/>
      <c r="Y51" s="178">
        <f>'Tabuľka 3 BFS,DFS'!G5</f>
        <v>1.7990000051213431</v>
      </c>
      <c r="Z51" s="178"/>
      <c r="AA51" s="178">
        <f>'Tabuľka 3 BFS,DFS'!O5</f>
        <v>1.520416990388185</v>
      </c>
    </row>
    <row r="52" spans="1:27" x14ac:dyDescent="0.2">
      <c r="W52" s="108" t="s">
        <v>125</v>
      </c>
      <c r="X52" s="178"/>
      <c r="Y52" s="178">
        <f>'Tabuľka 3 BFS,DFS'!G6</f>
        <v>1.470792005420662</v>
      </c>
      <c r="Z52" s="178"/>
      <c r="AA52" s="178">
        <f>'Tabuľka 3 BFS,DFS'!O6</f>
        <v>1.143999994383194</v>
      </c>
    </row>
    <row r="53" spans="1:27" x14ac:dyDescent="0.2">
      <c r="W53" s="108" t="s">
        <v>126</v>
      </c>
      <c r="X53" s="178"/>
      <c r="Y53" s="178">
        <f>'Tabuľka 3 BFS,DFS'!G7</f>
        <v>1.145040994742885</v>
      </c>
      <c r="Z53" s="178"/>
      <c r="AA53" s="178">
        <f>'Tabuľka 3 BFS,DFS'!O7</f>
        <v>0.89116599701810628</v>
      </c>
    </row>
    <row r="54" spans="1:27" x14ac:dyDescent="0.2">
      <c r="W54" s="108" t="s">
        <v>127</v>
      </c>
      <c r="X54" s="178">
        <f>'Tabuľka 3 BFS,DFS'!F8</f>
        <v>241457693.35937503</v>
      </c>
      <c r="Y54" s="178">
        <f>'Tabuľka 3 BFS,DFS'!G8</f>
        <v>49.260999992839061</v>
      </c>
      <c r="Z54" s="178">
        <f>'Tabuľka 3 BFS,DFS'!N8</f>
        <v>204066914.06250003</v>
      </c>
      <c r="AA54" s="178">
        <f>'Tabuľka 3 BFS,DFS'!O8</f>
        <v>1659.908291010652</v>
      </c>
    </row>
    <row r="55" spans="1:27" x14ac:dyDescent="0.2">
      <c r="W55" s="108" t="s">
        <v>128</v>
      </c>
      <c r="X55" s="178">
        <f>'Tabuľka 3 BFS,DFS'!F9</f>
        <v>197406361.32812494</v>
      </c>
      <c r="Y55" s="178">
        <f>'Tabuľka 3 BFS,DFS'!G9</f>
        <v>1685.13716700545</v>
      </c>
      <c r="Z55" s="178">
        <f>'Tabuľka 3 BFS,DFS'!N9</f>
        <v>153545080.07812506</v>
      </c>
      <c r="AA55" s="178">
        <f>'Tabuľka 3 BFS,DFS'!O9</f>
        <v>1721.2991669948681</v>
      </c>
    </row>
    <row r="56" spans="1:27" x14ac:dyDescent="0.2">
      <c r="W56" s="108" t="s">
        <v>129</v>
      </c>
      <c r="X56" s="178">
        <f>'Tabuľka 3 BFS,DFS'!F10</f>
        <v>197406361.32812494</v>
      </c>
      <c r="Y56" s="178">
        <f>'Tabuľka 3 BFS,DFS'!G10</f>
        <v>36.362416998599663</v>
      </c>
      <c r="Z56" s="178">
        <f>'Tabuľka 3 BFS,DFS'!N10</f>
        <v>153545080.07812506</v>
      </c>
      <c r="AA56" s="178">
        <f>'Tabuľka 3 BFS,DFS'!O10</f>
        <v>1338.121499997214</v>
      </c>
    </row>
    <row r="57" spans="1:27" x14ac:dyDescent="0.2">
      <c r="W57" s="108" t="s">
        <v>130</v>
      </c>
      <c r="X57" s="178">
        <f>'Tabuľka 3 BFS,DFS'!F11</f>
        <v>153684800.78124997</v>
      </c>
      <c r="Y57" s="178">
        <f>'Tabuľka 3 BFS,DFS'!G11</f>
        <v>555.51079199358355</v>
      </c>
      <c r="Z57" s="178">
        <f>'Tabuľka 3 BFS,DFS'!N11</f>
        <v>119610275.390625</v>
      </c>
      <c r="AA57" s="178">
        <f>'Tabuľka 3 BFS,DFS'!O11</f>
        <v>1345.411665999563</v>
      </c>
    </row>
    <row r="58" spans="1:27" x14ac:dyDescent="0.2">
      <c r="A58" s="102" t="s">
        <v>142</v>
      </c>
      <c r="W58" s="108" t="s">
        <v>131</v>
      </c>
      <c r="X58" s="178">
        <f>'Tabuľka 3 BFS,DFS'!F12</f>
        <v>153684800.78124997</v>
      </c>
      <c r="Y58" s="178">
        <f>'Tabuľka 3 BFS,DFS'!G12</f>
        <v>929.20404199685436</v>
      </c>
      <c r="Z58" s="178">
        <f>'Tabuľka 3 BFS,DFS'!N12</f>
        <v>119610275.390625</v>
      </c>
      <c r="AA58" s="178">
        <f>'Tabuľka 3 BFS,DFS'!O12</f>
        <v>995.62829099886585</v>
      </c>
    </row>
    <row r="59" spans="1:27" x14ac:dyDescent="0.2">
      <c r="W59" s="108" t="s">
        <v>132</v>
      </c>
      <c r="X59" s="178">
        <f>'Tabuľka 3 BFS,DFS'!F13</f>
        <v>153684800.78124997</v>
      </c>
      <c r="Y59" s="178">
        <f>'Tabuľka 3 BFS,DFS'!G13</f>
        <v>30.682415992487218</v>
      </c>
      <c r="Z59" s="178">
        <f>'Tabuľka 3 BFS,DFS'!N13</f>
        <v>119610275.390625</v>
      </c>
      <c r="AA59" s="178">
        <f>'Tabuľka 3 BFS,DFS'!O13</f>
        <v>620.91079200035892</v>
      </c>
    </row>
    <row r="60" spans="1:27" x14ac:dyDescent="0.2">
      <c r="W60" s="108" t="s">
        <v>133</v>
      </c>
      <c r="X60" s="178">
        <f>'Tabuľka 3 BFS,DFS'!F14</f>
        <v>2.0741057926922243E+18</v>
      </c>
      <c r="Y60" s="178">
        <f>'Tabuľka 3 BFS,DFS'!G14</f>
        <v>203.86812501237731</v>
      </c>
      <c r="Z60" s="178">
        <f>'Tabuľka 3 BFS,DFS'!N14</f>
        <v>1.7529214441881603E+18</v>
      </c>
      <c r="AA60" s="178">
        <f>'Tabuľka 3 BFS,DFS'!O14</f>
        <v>18413.979625009229</v>
      </c>
    </row>
    <row r="61" spans="1:27" x14ac:dyDescent="0.2">
      <c r="W61" s="108" t="s">
        <v>134</v>
      </c>
      <c r="X61" s="178">
        <f>'Tabuľka 3 BFS,DFS'!F15</f>
        <v>1.6957077318533115E+18</v>
      </c>
      <c r="Y61" s="178">
        <f>'Tabuľka 3 BFS,DFS'!G15</f>
        <v>120143.2562090049</v>
      </c>
      <c r="Z61" s="178">
        <f>'Tabuľka 3 BFS,DFS'!N15</f>
        <v>1.3189421947944965E+18</v>
      </c>
      <c r="AA61" s="178">
        <f>'Tabuľka 3 BFS,DFS'!O15</f>
        <v>11691.55895800213</v>
      </c>
    </row>
    <row r="62" spans="1:27" x14ac:dyDescent="0.2">
      <c r="W62" s="108" t="s">
        <v>135</v>
      </c>
      <c r="X62" s="178">
        <f>'Tabuľka 3 BFS,DFS'!F16</f>
        <v>1.6957077318533115E+18</v>
      </c>
      <c r="Y62" s="178">
        <f>'Tabuľka 3 BFS,DFS'!G16</f>
        <v>33.929291996173561</v>
      </c>
      <c r="Z62" s="178">
        <f>'Tabuľka 3 BFS,DFS'!N16</f>
        <v>1.3189421947944965E+18</v>
      </c>
      <c r="AA62" s="178">
        <f>'Tabuľka 3 BFS,DFS'!O16</f>
        <v>12049.640666999039</v>
      </c>
    </row>
    <row r="63" spans="1:27" x14ac:dyDescent="0.2">
      <c r="W63" s="108" t="s">
        <v>136</v>
      </c>
      <c r="X63" s="178">
        <f>'Tabuľka 3 BFS,DFS'!F17</f>
        <v>1.3201423864954877E+18</v>
      </c>
      <c r="Y63" s="178">
        <f>'Tabuľka 3 BFS,DFS'!G17</f>
        <v>2134.4712080026511</v>
      </c>
      <c r="Z63" s="178">
        <f>'Tabuľka 3 BFS,DFS'!N17</f>
        <v>1.027444442136576E+18</v>
      </c>
      <c r="AA63" s="178">
        <f>'Tabuľka 3 BFS,DFS'!O17</f>
        <v>12129.66708399472</v>
      </c>
    </row>
    <row r="64" spans="1:27" x14ac:dyDescent="0.2">
      <c r="W64" s="108" t="s">
        <v>137</v>
      </c>
      <c r="X64" s="178">
        <f>'Tabuľka 3 BFS,DFS'!F18</f>
        <v>1.3201423864954877E+18</v>
      </c>
      <c r="Y64" s="178">
        <f>'Tabuľka 3 BFS,DFS'!G18</f>
        <v>120081.6350839887</v>
      </c>
      <c r="Z64" s="178">
        <f>'Tabuľka 3 BFS,DFS'!N18</f>
        <v>1.027444442136576E+18</v>
      </c>
      <c r="AA64" s="178">
        <f>'Tabuľka 3 BFS,DFS'!O18</f>
        <v>13065.34200000169</v>
      </c>
    </row>
    <row r="65" spans="1:30" x14ac:dyDescent="0.2">
      <c r="W65" s="108" t="s">
        <v>138</v>
      </c>
      <c r="X65" s="178">
        <f>'Tabuľka 3 BFS,DFS'!F19</f>
        <v>1.3201423864954877E+18</v>
      </c>
      <c r="Y65" s="178">
        <f>'Tabuľka 3 BFS,DFS'!G19</f>
        <v>790.78041700995527</v>
      </c>
      <c r="Z65" s="178">
        <f>'Tabuľka 3 BFS,DFS'!N19</f>
        <v>1.027444442136576E+18</v>
      </c>
      <c r="AA65" s="178">
        <f>'Tabuľka 3 BFS,DFS'!O19</f>
        <v>20787.520375000899</v>
      </c>
    </row>
    <row r="66" spans="1:30" x14ac:dyDescent="0.2">
      <c r="W66" s="108" t="s">
        <v>139</v>
      </c>
      <c r="X66" s="178">
        <f>'Tabuľka 3 BFS,DFS'!F20</f>
        <v>1.1402517181513291E+30</v>
      </c>
      <c r="Y66" s="178">
        <f>'Tabuľka 3 BFS,DFS'!G20</f>
        <v>129.39395800640341</v>
      </c>
      <c r="Z66" s="178">
        <f>'Tabuľka 3 BFS,DFS'!N20</f>
        <v>9.6367875523139041E+29</v>
      </c>
      <c r="AA66" s="178">
        <f>'Tabuľka 3 BFS,DFS'!O20</f>
        <v>13044.871000005511</v>
      </c>
    </row>
    <row r="67" spans="1:30" x14ac:dyDescent="0.2">
      <c r="W67" s="108" t="s">
        <v>140</v>
      </c>
      <c r="X67" s="178">
        <f>'Tabuľka 3 BFS,DFS'!F21</f>
        <v>4.0119040726366358E+43</v>
      </c>
      <c r="Y67" s="178">
        <f>'Tabuľka 3 BFS,DFS'!G21</f>
        <v>120096.19608300269</v>
      </c>
      <c r="Z67" s="178">
        <f>'Tabuľka 3 BFS,DFS'!N21</f>
        <v>3.3906431898163697E+43</v>
      </c>
      <c r="AA67" s="178">
        <f>'Tabuľka 3 BFS,DFS'!O21</f>
        <v>9415.4975830024341</v>
      </c>
    </row>
    <row r="69" spans="1:30" x14ac:dyDescent="0.2">
      <c r="W69" s="102" t="s">
        <v>143</v>
      </c>
    </row>
    <row r="70" spans="1:30" ht="16" x14ac:dyDescent="0.2">
      <c r="W70" s="173" t="s">
        <v>144</v>
      </c>
      <c r="X70" s="104" t="s">
        <v>145</v>
      </c>
      <c r="Y70" s="104" t="s">
        <v>123</v>
      </c>
      <c r="Z70" s="104" t="s">
        <v>122</v>
      </c>
      <c r="AA70" s="104" t="s">
        <v>146</v>
      </c>
      <c r="AB70" s="104" t="s">
        <v>147</v>
      </c>
      <c r="AC70" s="104" t="s">
        <v>121</v>
      </c>
      <c r="AD70" s="104" t="s">
        <v>120</v>
      </c>
    </row>
    <row r="71" spans="1:30" x14ac:dyDescent="0.2">
      <c r="W71" s="108" t="str">
        <f>'Tabuľka 3 BFS,DFS'!W5</f>
        <v>štvorec 100×100</v>
      </c>
      <c r="X71" s="177">
        <f>'Tabuľka 3 BFS,DFS'!R5</f>
        <v>8836</v>
      </c>
      <c r="Y71" s="176">
        <f>'Tabuľka 3 BFS,DFS'!U5</f>
        <v>3.869166001095437</v>
      </c>
      <c r="Z71" s="176">
        <f>'Tabuľka 3 BFS,DFS'!U$5*'Tabuľka 3 BFS,DFS'!R5/'Tabuľka 3 BFS,DFS'!R$5</f>
        <v>3.8691660010954374</v>
      </c>
      <c r="AA71" s="176">
        <f>'Tabuľka 3 BFS,DFS'!U9</f>
        <v>4.4905000104336068</v>
      </c>
      <c r="AB71" s="176">
        <f>'Tabuľka 3 BFS,DFS'!U$9*'Tabuľka 3 BFS,DFS'!R9/'Tabuľka 3 BFS,DFS'!R$9</f>
        <v>4.4905000104336068</v>
      </c>
      <c r="AC71" s="176">
        <f>'Tabuľka 3 BFS,DFS'!U13</f>
        <v>3.7909999955445528</v>
      </c>
      <c r="AD71" s="176">
        <f>'Tabuľka 3 BFS,DFS'!U$13*'Tabuľka 3 BFS,DFS'!R13/'Tabuľka 3 BFS,DFS'!R$13</f>
        <v>3.7909999955445528</v>
      </c>
    </row>
    <row r="72" spans="1:30" x14ac:dyDescent="0.2">
      <c r="W72" s="108" t="str">
        <f>'Tabuľka 3 BFS,DFS'!W6</f>
        <v>kruh r = 150</v>
      </c>
      <c r="X72" s="177">
        <f>'Tabuľka 3 BFS,DFS'!R6</f>
        <v>67800</v>
      </c>
      <c r="Y72" s="176">
        <f>'Tabuľka 3 BFS,DFS'!U6</f>
        <v>31.425332999788221</v>
      </c>
      <c r="Z72" s="176">
        <f>'Tabuľka 3 BFS,DFS'!U$5*'Tabuľka 3 BFS,DFS'!R6/'Tabuľka 3 BFS,DFS'!R$5</f>
        <v>29.688711506821033</v>
      </c>
      <c r="AA72" s="176">
        <f>'Tabuľka 3 BFS,DFS'!U10</f>
        <v>34.445541008608423</v>
      </c>
      <c r="AB72" s="176">
        <f>'Tabuľka 3 BFS,DFS'!U$9*'Tabuľka 3 BFS,DFS'!R10/'Tabuľka 3 BFS,DFS'!R$9</f>
        <v>34.456303837414957</v>
      </c>
      <c r="AC72" s="176">
        <f>'Tabuľka 3 BFS,DFS'!U14</f>
        <v>32.165625001653098</v>
      </c>
      <c r="AD72" s="176">
        <f>'Tabuľka 3 BFS,DFS'!U$13*'Tabuľka 3 BFS,DFS'!R14/'Tabuľka 3 BFS,DFS'!R$13</f>
        <v>29.088931609090164</v>
      </c>
    </row>
    <row r="73" spans="1:30" x14ac:dyDescent="0.2">
      <c r="W73" s="108" t="str">
        <f>'Tabuľka 3 BFS,DFS'!W7</f>
        <v>trojuholník 700×450</v>
      </c>
      <c r="X73" s="177">
        <f>'Tabuľka 3 BFS,DFS'!R7</f>
        <v>155109</v>
      </c>
      <c r="Y73" s="176">
        <f>'Tabuľka 3 BFS,DFS'!U7</f>
        <v>71.692291996441782</v>
      </c>
      <c r="Z73" s="176">
        <f>'Tabuľka 3 BFS,DFS'!U$5*'Tabuľka 3 BFS,DFS'!R7/'Tabuľka 3 BFS,DFS'!R$5</f>
        <v>67.920152700759644</v>
      </c>
      <c r="AA73" s="176">
        <f>'Tabuľka 3 BFS,DFS'!U11</f>
        <v>78.456540999468416</v>
      </c>
      <c r="AB73" s="176">
        <f>'Tabuľka 3 BFS,DFS'!U$9*'Tabuľka 3 BFS,DFS'!R11/'Tabuľka 3 BFS,DFS'!R$9</f>
        <v>78.827180411763962</v>
      </c>
      <c r="AC73" s="176">
        <f>'Tabuľka 3 BFS,DFS'!U15</f>
        <v>74.133416012045927</v>
      </c>
      <c r="AD73" s="176">
        <f>'Tabuľka 3 BFS,DFS'!U$13*'Tabuľka 3 BFS,DFS'!R15/'Tabuľka 3 BFS,DFS'!R$13</f>
        <v>66.548010220565871</v>
      </c>
    </row>
    <row r="74" spans="1:30" x14ac:dyDescent="0.2">
      <c r="W74" s="108" t="str">
        <f>'Tabuľka 3 BFS,DFS'!W8</f>
        <v>obdĺžnik 880×556</v>
      </c>
      <c r="X74" s="177">
        <f>'Tabuľka 3 BFS,DFS'!R8</f>
        <v>480700</v>
      </c>
      <c r="Y74" s="176">
        <f>'Tabuľka 3 BFS,DFS'!U8</f>
        <v>242.15637499582951</v>
      </c>
      <c r="Z74" s="176">
        <f>'Tabuľka 3 BFS,DFS'!U$5*'Tabuľka 3 BFS,DFS'!R8/'Tabuľka 3 BFS,DFS'!R$5</f>
        <v>210.49208881016031</v>
      </c>
      <c r="AA74" s="176">
        <f>'Tabuľka 3 BFS,DFS'!U12</f>
        <v>241.01008399156851</v>
      </c>
      <c r="AB74" s="176">
        <f>'Tabuľka 3 BFS,DFS'!U$9*'Tabuľka 3 BFS,DFS'!R12/'Tabuľka 3 BFS,DFS'!R$9</f>
        <v>244.29417779712932</v>
      </c>
      <c r="AC74" s="176">
        <f>'Tabuľka 3 BFS,DFS'!U16</f>
        <v>229.26999999617689</v>
      </c>
      <c r="AD74" s="176">
        <f>'Tabuľka 3 BFS,DFS'!U$13*'Tabuľka 3 BFS,DFS'!R16/'Tabuľka 3 BFS,DFS'!R$13</f>
        <v>206.23966702787081</v>
      </c>
    </row>
    <row r="75" spans="1:30" x14ac:dyDescent="0.2">
      <c r="W75" s="107" t="s">
        <v>148</v>
      </c>
    </row>
    <row r="77" spans="1:30" x14ac:dyDescent="0.2">
      <c r="A77" s="102" t="s">
        <v>149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Tabuľka 1 Search</vt:lpstr>
      <vt:lpstr>Tabuľka 2 Sort</vt:lpstr>
      <vt:lpstr>Tabuľka 3 BFS,DFS</vt:lpstr>
      <vt:lpstr>Grafy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Zbook</dc:creator>
  <cp:lastModifiedBy>Bartko Martin</cp:lastModifiedBy>
  <dcterms:created xsi:type="dcterms:W3CDTF">2021-10-04T06:57:49Z</dcterms:created>
  <dcterms:modified xsi:type="dcterms:W3CDTF">2026-10-20T17:42:36Z</dcterms:modified>
</cp:coreProperties>
</file>